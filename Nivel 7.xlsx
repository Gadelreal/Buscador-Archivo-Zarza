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as y Control Fisico" sheetId="1" r:id="rId5"/>
    <sheet state="visible" name="Nivel 7"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tc={89cf802d-8732-4909-a92f-24c502e0b125}</author>
  </authors>
  <commentList>
    <comment authorId="0" xr:uid="{89cf802d-8732-4909-a92f-24c502e0b125}" ref="B19">
      <text>
        <t xml:space="preserve">[Threaded comment]
 Your version of Excel allows you to read this threaded comment; however, any edits to it will get removed if the file is opened in a newer version of Excel. Learn more: https://go.microsoft.com/fwlink/?linkid=870924
Comment:
	Revisar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tc={45ec1611-1e14-4f33-8e79-da5188b58986}</author>
  </authors>
  <commentList>
    <comment authorId="0" xr:uid="{45ec1611-1e14-4f33-8e79-da5188b58986}" ref="A2">
      <text>
        <t xml:space="preserve">[Threaded comment]
 Your version of Excel allows you to read this threaded comment; however, any edits to it will get removed if the file is opened in a newer version of Excel. Learn more: https://go.microsoft.com/fwlink/?linkid=870924
Comment:
	Revisar
</t>
      </text>
    </comment>
  </commentList>
</comments>
</file>

<file path=xl/sharedStrings.xml><?xml version="1.0" encoding="utf-8"?>
<sst xmlns="http://schemas.openxmlformats.org/spreadsheetml/2006/main" count="1107" uniqueCount="690">
  <si>
    <t>Código Local</t>
  </si>
  <si>
    <t>CONTROL FÍSICO Y METODOLOGÍA DEL NIVEL 7</t>
  </si>
  <si>
    <t>1.1 Código de Referencia ISAD(G)</t>
  </si>
  <si>
    <t xml:space="preserve">Rótulo Físico </t>
  </si>
  <si>
    <t>1.2 Título Atribuido</t>
  </si>
  <si>
    <t>1.3 Fecha(s)</t>
  </si>
  <si>
    <t>1. ¿Qué es el Nivel 7 (Unidad de Localización)?</t>
  </si>
  <si>
    <t>1.5 Extensión y Soporte</t>
  </si>
  <si>
    <t xml:space="preserve">3.1 Alcance y Contenido </t>
  </si>
  <si>
    <t>PUBLICACIONES-C001</t>
  </si>
  <si>
    <t>Representa el primer nivel propiamente físico en la descripción archivística bajo la norma ISAD(G) y el MDM. Identifica los contenedores de conservación definitivos (cajas, carpetas o carpetas de gran formato) donde reposa la documentación reinstalada, sirviendo como puente directo entre el Cuadro de Clasificación (Series de Nivel 5) y la base de datos de documentos individuales (Nivel 9).</t>
  </si>
  <si>
    <t>2. Aplicación de la técnica del 'Freno Descriptivo'</t>
  </si>
  <si>
    <t>Para optimizar recursos y tiempos de campo se aplica un freno descriptivo físico en el Nivel 7. Las agrupaciones masivas y complejas se describen de manera global y cuantitativa a nivel de caja, deteniendo la microdescripción individual de Nivel 9 para garantizar el control topográfico de todo el depósito.</t>
  </si>
  <si>
    <t>3. Política de Desvinculación de Estanterías (Control Topográfico Lógico)</t>
  </si>
  <si>
    <t>Las cajas están numeradas de forma lógica e invariable (C001, C002...) Esto asegura que el inventario descriptivo nunca quede obsoleto ante reordenaciones físicas, gestionando la ubicación física de manera externa y dinámica en la base de datos.</t>
  </si>
  <si>
    <t>4. Relación con el Catálogo de Documentos de Nivel 9</t>
  </si>
  <si>
    <t xml:space="preserve">Los documentos microdescritos en el Excel de Nivel 9 heredan jerárquicamente el identificador de su contenedor. De esta forma, si el buscador web indica que una carta tiene la signatura lógica ES-CEDCS-ZARZA-PERSONAL-C001-P001-D005, el archivero sabe que debe acudir a la estantería, coger la caja rotulada como C001  y buscar la carpeta C001-P001 en la que estará el documento buscado
</t>
  </si>
  <si>
    <t>Series</t>
  </si>
  <si>
    <t>CÓDIGO</t>
  </si>
  <si>
    <t>ABREVIATURA</t>
  </si>
  <si>
    <t>[Documentos personales]</t>
  </si>
  <si>
    <t>PERSONAL</t>
  </si>
  <si>
    <t>PE</t>
  </si>
  <si>
    <t>[Activismo político]</t>
  </si>
  <si>
    <t>MILITANCIA</t>
  </si>
  <si>
    <t>MI</t>
  </si>
  <si>
    <t>[Publicaciones]</t>
  </si>
  <si>
    <t>[Caja 1: Materiales para preparación de libro "diseño SIN diseño. Cincuenta objetos anarquistas" ]</t>
  </si>
  <si>
    <t>PUBLICACIONES</t>
  </si>
  <si>
    <t>PU</t>
  </si>
  <si>
    <t>[Proyectos expositivos]</t>
  </si>
  <si>
    <t>EXPOSICIONES</t>
  </si>
  <si>
    <t>EX</t>
  </si>
  <si>
    <t>[Producción audiovisual]</t>
  </si>
  <si>
    <t>AUDIOVISUAL</t>
  </si>
  <si>
    <t>AU</t>
  </si>
  <si>
    <t>[s.f.] - 2013</t>
  </si>
  <si>
    <t>[Arquitectura, urbanismo y diseño]</t>
  </si>
  <si>
    <t>ARQUITECTURA</t>
  </si>
  <si>
    <t>AR</t>
  </si>
  <si>
    <t>1 caja de archivo definitivo (contiene 3 carpetas de conservación).</t>
  </si>
  <si>
    <t>Abreviaturas</t>
  </si>
  <si>
    <t>Materiales de trabajo y pruebas de edición para el libro [diseño SIN diseño. Cincuenta objetos anarquistas]. Contiene un ejemplar desmontado de prueba, otro ejemplar completo, fotocopias de referencia, notas manuscritas preparatorias y expedientes grapados de producción.</t>
  </si>
  <si>
    <t>C: Caja</t>
  </si>
  <si>
    <t>P: Carpeta</t>
  </si>
  <si>
    <t>D: Documento</t>
  </si>
  <si>
    <t>PUBLICACIONES-C001-P001</t>
  </si>
  <si>
    <t>[Carpeta 1: Prueba de imprenta de  "diseño SIN diseño. Cincuenta objetos anarquistas" y otros documentos]</t>
  </si>
  <si>
    <t>1 carpeta de conservación</t>
  </si>
  <si>
    <t>Documentación vinculada al proceso de redacción, maquetación y edición del libro  "diseño SIN diseño. Cincuenta objetos anarquistas". Reúne un ejemplar impreso definitivo de la publicación, así como un juego de pruebas de imprenta desmontado con correcciones manuscritas en el texto. Incluye también fotocopias  grapadas: "Capítulo 5. Visión estereoscópica" y material fotográfico José Millán-Astray acompañado de una anotación manuscrita con la consigna "Muera la inteligencia".</t>
  </si>
  <si>
    <t>PUBLICACIONES-C001-P002</t>
  </si>
  <si>
    <t>[Carpeta 2: Borradores preparatorios acumulados durante el proceso de investigación, compilación de fuentes y elaboración del proyecto editorial de la obra "diseño SIN diseño. Cincuenta objetos anarquistas"]</t>
  </si>
  <si>
    <t>Reúne material de trabajo y borradores preparatorios acumulados durante el proceso de investigación, compilación de fuentes y elaboración del proyecto editorial de la obra "diseño SIN diseño. Cincuenta objetos anarquistas". El conjunto integra manuscritos autógrafos, notas de trabajo con fotocomposición manual y material fotográfico adosado a los soportes, copias reprográficas monocromáticas y a color, correspondencia electrónica impresa e impresos preliminares con elementos de señalización y correcciones del texto.</t>
  </si>
  <si>
    <t>PUBLICACIONES-C001-P003</t>
  </si>
  <si>
    <t>[Carpeta 3: Posible material preparatorio de libro "diseño SIN diseño. Cincuenta objetos anarquistas". Grupos de fotocopias]</t>
  </si>
  <si>
    <t>[s.f.]</t>
  </si>
  <si>
    <t>Documentación de naturaleza exclusivamente textual constituida por agrupaciones de copias reprográficas reunidas mediante elementos metálicos de sujeción (grapas y clips). El conjunto comprende fragmentos e impresos de procedencia y contexto funcional no determinados.</t>
  </si>
  <si>
    <t>PUBLICACIONES-C002</t>
  </si>
  <si>
    <t>[Caja 2: Materiales de preparación de libro "diseño SIN diseño. Cincuenta objetos anarquistas" y "La Infiltración" ]</t>
  </si>
  <si>
    <t>[ca. 2005 - ca. 2009]</t>
  </si>
  <si>
    <t>1 caja de archivo definitivo (contiene 5 carpetas de conservación).</t>
  </si>
  <si>
    <t>Materiales de preparacion de libro "diseño SIN diseño. Cincuenta objetos anarquistas" y publicación "La Infiltración"</t>
  </si>
  <si>
    <t>PUBLICACIONES-C002-P001</t>
  </si>
  <si>
    <t>[Carpeta 1: Material preparatorio de libro"diseño SIN diseño. Cincuenta objetos anarquistas"]</t>
  </si>
  <si>
    <t>Material de trabajo y borradores preparatorios acumulados en el desarrollo del proyecto editorial del libro "diseño SIN diseño. Cincuenta objetos anarquistas". El conjunto comprende pruebas de imprenta preliminares con textos de muestra y galeradas con correcciones manuscritas autógrafas, copias reprográficas a color con anotaciones marginales y reproducciones de material gráfico e impresos recortables de la Guerra Civil Española (1936-1939) con representación de iconografía anarquista.</t>
  </si>
  <si>
    <t>PUBLICACIONES-C002-P002</t>
  </si>
  <si>
    <t>[Carpeta 2: Material preparatorio de libro"diseño SIN diseño. Cincuenta objetos anarquistas"]</t>
  </si>
  <si>
    <t>Documentación preparatoria del proceso de revisión, maquetación y fotocomposición para la publicación del libro "diseño SIN diseño. Cincuenta objetos anarquistas". El conjunto integra galeradas y pruebas de imprenta con correcciones manuscritas autógrafas en los soportes, acompañadas de material gráfico compuesto por impresiones fotográficas de contacto e imágenes en miniatura seleccionadas para la maquetación de la obra.</t>
  </si>
  <si>
    <t>PUBLICACIONES-C002-P003</t>
  </si>
  <si>
    <t>[Carpeta 3: Material preparatorio de libro"diseño SIN diseño. Cincuenta objetos anarquistas"]</t>
  </si>
  <si>
    <t>Documentación vinculada al proceso de revisión editorial, corrección de galeradas y coordinación entre autores para la publicación de la obra "diseño SIN diseño. Cincuenta objetos anarquistas". El conjunto reúne pruebas de imprenta con anotaciones y correcciones manuscritas autógrafas en los soportes, junto con correspondencia electrónica impresa relativa a las gestiones de edición e intercambiada por el coautor Koldo Artieda.</t>
  </si>
  <si>
    <t>PUBLICACIONES-C002-P004</t>
  </si>
  <si>
    <t>[Carpeta 4: Maqueta de preproducción y borrador de paginación del número 2 de la publicación "La Infiltración"]</t>
  </si>
  <si>
    <t>Maqueta de preproducción y borrador de paginación (monstruo de imprenta) del número 2 (2005) de la publicación seriada "La Infiltración", dedicado al monográfico «La monarquía». La unidad está integrada por copias reprográficas grapadas estructuradas a modo de ejemplar de muestra para el diseño, maquetación y fotocomposición final de la edición.</t>
  </si>
  <si>
    <t>PUBLICACIONES-C002-P005</t>
  </si>
  <si>
    <t>[Carpeta 5: Ejemplares de papel A4 para correspondencia en blanco de la publicación "La Infiltración"]</t>
  </si>
  <si>
    <t>Ejemplares de papel A4 para correspondencia en blanco de la publicación "La Infiltración". Las páginas contienen el logotipo en zona superior, datos de localización postal en L'Escala (Girona) y lema tipografiado al pie ("Precipitemos los acontecimientos").</t>
  </si>
  <si>
    <t>PUBLICACIONES-C003</t>
  </si>
  <si>
    <t>[Caja 3: Galeradas y pruebas de imprenta en formato DIN A4 ]</t>
  </si>
  <si>
    <t>Galeradas y pruebas de imprenta en formato DIN A4 (en blanco y negro) con correcciones manuscritas a lápiz en los soportes, correspondientes a la revisión editorial de una obra literaria no identificada, tal vez la biografía de Pedro Luis de Gálvez realizada por Quico Rivas. El conjunto comprende el esquema de sumario y borradores de texto estructurados en la sección "Primera parte: La forja de un hampón", e incluye capítulos titulados "Navidades negras en la Puerta del Sol", "La tripulación rinde homenaje a Ramón" y "Añoranzas sevillanas y verificación de un texto de Apollinaire", etc.</t>
  </si>
  <si>
    <t>PUBLICACIONES-C003-P001</t>
  </si>
  <si>
    <t>[Carpeta 1: Galeradas y pruebas de imprenta carpeta 1 de 3]</t>
  </si>
  <si>
    <t xml:space="preserve">Galeradas y pruebas de imprenta en formato DIN A4 (en blanco y negro) con correcciones manuscritas a lápiz en los soportes, correspondientes a la revisión editorial de una obra literaria no identificada. </t>
  </si>
  <si>
    <t>PUBLICACIONES-C003-P002</t>
  </si>
  <si>
    <t>[Carpeta 2: Galeradas y pruebas de imprenta carpeta  2 de 3]</t>
  </si>
  <si>
    <t>PUBLICACIONES-C003-P003</t>
  </si>
  <si>
    <t>[Carpeta 3: Galeradas y pruebas de imprenta carpeta 3 de 3]</t>
  </si>
  <si>
    <t>PUBLICACIONES-C004</t>
  </si>
  <si>
    <t>[Caja 4: Artículos de prensa de y sobre Kiko Rivas. Otros documentos]</t>
  </si>
  <si>
    <t>[ca. 1999 - ca. 2008]</t>
  </si>
  <si>
    <t>1 caja de archivo definitivo (contiene 2 carpetas de conservación).</t>
  </si>
  <si>
    <t>Reúne dossier de prensa, escritos en homenaje y catálogos de exposiciones dedicados a la figura y memoria de Francisco Rivas (Kiko Rivas). El conjunto comprende manuscritos autógrafos sobre el colectivo C.O.A.I.N. , un ejemplar impreso del "Comunicado número 2" de dicha agrupación, ensayos y artículos de crítica de arte redactados por Kiko Rivas sobre artistas plásticos, copias reprográficas de fragmentos de libros y publicaciones, composiciones poéticas y reproducciones de material gráfico y periodístico de y sobre el autor.</t>
  </si>
  <si>
    <t>PUBLICACIONES-C004-P001</t>
  </si>
  <si>
    <t>[Carpeta 1: Prensa Kiko Rivas carpeta 1 de 2]</t>
  </si>
  <si>
    <t>Reúne dossier de prensa, homenajes y catálogos dedicados a la trayectoria artística y memoria de Francisco Rivas (Kiko Rivas). Incluye el manuscrito de C.O.A.I.N. "Comunicado número 2: A Grazalema!!!... es el Lema" para una exposición conmemorativa, fotocopias del libro "EL PASO DEL ECUADOR DE LUIS CLARAMUNT", recortes de prensa, ejemplar de Diagonal y artículos del Diario de Sevilla de 2003 y de la publicación Puerto de las Artes de 1999, composiciones poéticas en homenaje A Kiko Rivas de 2008, relaciones impresas de exposiciones con su repertorio bibliográfico y el catálogo de la exposición "Before the Poison" (2008).</t>
  </si>
  <si>
    <t>PUBLICACIONES-C004-P002</t>
  </si>
  <si>
    <t>[Carpeta 2: Prensa Kiko Rivas carpeta 2 de 2]</t>
  </si>
  <si>
    <t>[ca. 2005]</t>
  </si>
  <si>
    <t>Reúne ensayos y escritos de crítica de arte redactados por Francisco Rivas (Kiko Rivas) sobre artistas plásticos, así como el texto para el proyecto Copilandia titulado "Tecnoliberación. Los dialectos moleculares de la anarquía" (2005). El conjunto integra el impreso "Comunicado número 2" del colectivo C.O.A.I.N., copias reprográficas de fragmentos de libros y publicaciones (entre ellas la edición poética de César González-Ruano prologada y anotada por Kiko Rivas), composiciones poéticas, reproducciones de material gráfico y un dossier de prensa con artículos periodísticos de y sobre Kiko Rivas.</t>
  </si>
  <si>
    <t>PUBLICACIONES-C005</t>
  </si>
  <si>
    <t>[Carpeta A2: Ejemplares de Refractor y La Infiltración]</t>
  </si>
  <si>
    <t>1 carpeta tamaño A2 de conservación</t>
  </si>
  <si>
    <t>Agrupación documental integrada por cuatro carpetas de conservación (tres dedicadas a la publicación  "Refractor" y una a "La Infiltración"). Reúne ejemplares impresos de ambas publicaciones, borradores preparatorios de edición, impresos de difusión y propaganda (afiches y folletos), recortes de prensa y material fotográfico con retratos de colaboradores y participantes en los eventos vinculados, identificándose imágenes de Rafael Zarza y Francisco Rivas (Kiko Rivas). Incluye tambien bocetos en fotocopia, un ejemplar de "A LA GUILLOTINA" y un ejemplar de "El Plante".</t>
  </si>
  <si>
    <t>PUBLICACIONES-C006</t>
  </si>
  <si>
    <t>[Caja 6: Materiales relevantes Refractor 1]</t>
  </si>
  <si>
    <t>[ca. 1997 - ca. 2001]</t>
  </si>
  <si>
    <t>Documentación preparatoria, de gestión y difusión de la publicación seriada "Refractor". El conjunto comprende recortes de prensa impresos, ejemplares de los textos monográficos "El sol negro" y "Variaciones Orsini", papelería corporativa timbrada, impresiones con propuestas de diseño de logotipos, estampaciones de sellos e impresos de propaganda (octavillas).</t>
  </si>
  <si>
    <t>PUBLICACIONES-C006-P001</t>
  </si>
  <si>
    <t>[Carpeta 1: Refractor: Recortes prensa, El Sol Negro y varios]</t>
  </si>
  <si>
    <t>Agrupación de carpetas de conservación relativas a la gestión, difusión y dossiers de prensa de la publicación "Refractor" (1998-2001). Reúne una nota manuscrita autógrafa de David "Rag Cutter" sobre la documentación, la carpeta rotulada "G8 Enova" con recortes de prensa impresos de la época de la publicación (1998-2001), las carpetas tituladas "El sol negro y las variaciones Orsini" y "A por el todo" con impresos diversos de difusión, así como una carpeta con carátula de expediente contable titulada "Refractor : recibos, albaranes, presupuestos, facturas..." desprovista de contenido documental en su interior.</t>
  </si>
  <si>
    <t>PUBLICACIONES-C006-P002</t>
  </si>
  <si>
    <t>[Carpeta 2: Refractor: Papel timbrado, sellos , logos y octavillas]</t>
  </si>
  <si>
    <t>Carpeta de conservación rotulada "Papel timbrado, sellos, logos, octavillas". El conjunto reúne papelería corporativa timbrada e impresos en blanco y documentacion variada.</t>
  </si>
  <si>
    <t>PUBLICACIONES-C007</t>
  </si>
  <si>
    <t>[Caja 7: Materiales relevantes Refractor 2]</t>
  </si>
  <si>
    <t>Agrupación de carpetas de conservación con materiales de trabajo y edición de la publicación seriada "Refractor". El conjunto contiene la carpeta rotulada "Textos varios Refractor" con borradores y textos del proceso editorial, la carpeta titulada "Iconografía Refractor" acompañada de bocetos e impresos preparatorios para el póster "Los Borbones en pelota", y la carpeta rotulada "Notas al vuelo, avisos, mensajes, correspondencia Refractor + Infiltración", comprensiva de notas autógrafas, avisos y correspondencia intercambiada entre los grupos editoriales de las publicaciones "Refractor" y "La Infiltración".</t>
  </si>
  <si>
    <t>PUBLICACIONES-C007-P001</t>
  </si>
  <si>
    <t>[Carpeta 1: Refractor: Textos varios Refractor y otros documentos]</t>
  </si>
  <si>
    <t>Carpeta de conservación rotulada "Textos varios Refractor". El conjunto reúne borradores manuscritos e impresos, galeradas de edición con correcciones y anotaciones manuscritas autógrafas sobre los soportes, esquemas de sumarios e índices, y copias reprográficas de trabajo utilizadas en la redacción, revisión y maquetación de la publicación "Refractor".</t>
  </si>
  <si>
    <t>PUBLICACIONES-C007-P002</t>
  </si>
  <si>
    <t>[Carpeta 2: Refractor: Maquetas, textos e incoinografía]</t>
  </si>
  <si>
    <t>Reúne materiales de trabajo y maquetas de preproducción de la publicación seriada "Refractor". El conjunto integra la carpeta titulada "Iconografía Refractor" con copias reprográficas de fuentes e iconografía gráfica, borradores de artículos en proceso de redacción con correcciones manuscritas autógrafas, así como impresos y bocetos preparatorios para el póster "Los Borbones en pelota". Se completa con la carpeta rotulada "Notas al vuelo, avisos, mensajes, correspondencia Refractor + Infiltración", comprensiva de correspondencia, notas autógrafas y avisos administrativos intercambiados entre los equipos editoriales de las publicaciones "Refractor" y "La Infiltración".</t>
  </si>
  <si>
    <t>PUBLICACIONES-C008</t>
  </si>
  <si>
    <t>[Caja 8: Materiales relevantes Refractor 3]</t>
  </si>
  <si>
    <t>Reúne documentación preparatoria, de gestión y difusión de la publicación seriada "Refractor" y del colectivo Ediciones Los Troncos (1998). Comprende ejemplares impresos y copias reprográficas de "Refractor", borradores de debate editorial, textos autógrafos de Luis Falcón, dossier de prensa, propaganda (afiches y fanzines del evento "El estado es la obra de arte" y del II Salón Refractario en la Galería Buades), información sobre Cruz Negra Anarquista y un ejemplar de la publicación "Amor y rabia" (número 55).</t>
  </si>
  <si>
    <t>PUBLICACIONES-C008-P001</t>
  </si>
  <si>
    <t>[Carpeta 1: Refractor: Documentacion y prensa recibida</t>
  </si>
  <si>
    <t>Reúne documentación preparatoria y ejemplares de la publicación seriada "Refractor". El conjunto integra borradores e impresos de textos sometidos a debate editorial, ejemplares originales y copias reprográficas de números de la publicación, la reproducción reprográfica del cartel promocional de presentación del número 3 (fechado el 23 de abril de 1998), así como la carpeta de conservación rotulada "prensa recibida Refractor" con recortes de prensa e impresos de publicaciones periódicas contemporáneas.</t>
  </si>
  <si>
    <t>PUBLICACIONES-C008-P002</t>
  </si>
  <si>
    <t>[Carpeta 2: Refractor: Bocangel y documentacion variada]</t>
  </si>
  <si>
    <t>Sobre de conservación rotulado "Archivar Refractor + Ediciones Los Troncos" con documentación de gestión, difusión y actividades de la publicación "Refractor" y el colectivo Ediciones Los Troncos. Reúne impresos y materiales del evento "El estado es la obra de arte", celebrado el 5 de junio de 1998 en Madrid (calle Bocángel, 59), fanzines y publicaciones de formato menor, borradores de trabajo, impresos de propaganda (afiches), documentación informativa sobre Cruz Negra Anarquista, recortes de prensa y reproducciones reprográficas de "Refractor". Incluye asimismo una carpeta de conservación con impresos informativos sobre las actividades de tatuaje desarrolladas en la sede de la calle San Carlos número 13.</t>
  </si>
  <si>
    <t>PUBLICACIONES-C008-P003</t>
  </si>
  <si>
    <t>[Carpeta 3: Refractor: Bocangel y segundo salón refractario]</t>
  </si>
  <si>
    <t xml:space="preserve">Reúne documentación de gestión, difusión y producción de actividades vinculadas a la publicación "Refractor" (1998). El conjunto comprende textos firmados por Luis Falcón de abril de 1998, impresos informativos del evento celebrado el 5 de junio de 1998 en la calle Bocángel, folletos de propaganda para la presentación del número 2 de "Refractor", la relación de artistas participantes en el II Salón Refractario en la Galería Buades (1998) y un ejemplar de la publicación seriada "Amor y rabia" (número 55).
</t>
  </si>
  <si>
    <t>PUBLICACIONES-C009</t>
  </si>
  <si>
    <t>[Caja 9: Materiales relevantes Refractor 4]</t>
  </si>
  <si>
    <t>Reúne documentación de difusión, dossiers de prensa y materiales de trabajo de la publicación seriada "Refractor" y de los Salones Refractarios. Incluye borradores de debate editorial, impresos promocionales de los números 1 al 5, dossiers del I y II Salón Refractario en la Galería Buades (1998), un ejemplar de "El municipio español desde la época de Roma" (1945), carteles promocionales, una fotografía original de Rafael Montesinos e información sobre la exposición de Sevilla (2018).</t>
  </si>
  <si>
    <t>PUBLICACIONES-C009-P001</t>
  </si>
  <si>
    <t>[Carpeta 1: Refractor: Documentacion variada y KAX 1013]</t>
  </si>
  <si>
    <t>Reúne documentación de difusión, actividades y material gráfico vinculados a la publicación "Refractor". El conjunto comprende dossier informativo del II Salón Refractario en la Galería Buades, impresos del acto de presentación de la revista "Refractor" (con intervención de Antonio Artero, Kiko Rivas, Ernesto García Camarero y Julián Marcos), un ejemplar del capítulo 2 de la publicación "El municipio español desde la época de Roma" (1945) y el cartel de convocatoria de "Club de Ciudadanos". Se completa con reproducciones reprográficas del cartel de "Refractor 2" con la leyenda "KAX 1013 El partido del diablo", croquis de localización manuscrito de las sedes y una fotografía original de Rafael Montesinos que registra la inscripción manuscrita "Dios es negra".</t>
  </si>
  <si>
    <t>PUBLICACIONES-C009-P002</t>
  </si>
  <si>
    <t>[Carpeta 2: Refractor: Documentación variada y salones refractarios]</t>
  </si>
  <si>
    <t>Reúne documentación de gestión, difusión y dossiers de prensa de la publicación seriada "Refractor". El conjunto comprende materiales informativos de la presentación del número 1 en el estudio de tatuajes de la calle San Marcos y en el Travelin Bar, de los números 4-5 en la sede de la calle Bocángel, así como los dossiers del I Salón Refractario y del II Salón Refractario celebrado en la Galería Buades (10 de febrero de 1998). Se completa con recortes de prensa sobre los Salones Refractarios y la exposición de Sevilla de septiembre de 2018, además de un conjunto de textos sometidos a debate editorial.</t>
  </si>
  <si>
    <t>PUBLICACIONES-C010</t>
  </si>
  <si>
    <t>[Caja 10: Kiko Rivas y Antonio Pérez 1 de 2]</t>
  </si>
  <si>
    <t>Reúne documentación personal, editorial y jurídica de Francisco Rivas (Kiko Rivas) y Antonio Pérez. Incluye la carpeta "Kiko Rivas" con galeradas corregidas de "Refractor", correspondencia, fotografías, el catálogo "Before the Poison", publicaciones de Equipo Múltiple (1969-1972) y los "Textos refractarios" de Alí Calabrés. Se completa con los escritos de Antonio Pérez ("La internacional de la credulidad"), propaganda política, un ejemplar del "Boletín 00" (1999), un CD-ROM (2005), expedientes judiciales y el texto de la pieza dramática "Venganza picoleta".</t>
  </si>
  <si>
    <t>PUBLICACIONES-C010-P001</t>
  </si>
  <si>
    <t>[Carpeta 1: Kiko Rivas "EL LIBRO ROJO" y documentacion variada]</t>
  </si>
  <si>
    <t>Carpeta rotulada "Kiko Rivas". Reúne documentación personal, bio-bibliográfica y editorial de Francisco Rivas (Kiko Rivas) y colaboradores. El conjunto contiene galeradas de la publicación "Refractor" con correcciones manuscritas autógrafas de Kiko Rivas, correspondencia electrónica de Rafael Zarza, la nota manuscrita "Para el gran Kiko", ensayos de Kiko Rivas y un folio manuscrito con el directorio telefónico de colaboradores de "Refractor". Se completa con el catálogo de la exposición "Before the Poison", la ilustración "Castelo Belo", impresiones digitales a color de reportajes fotográficos de Kiko Rivas y Rafael Zarza, reproducciones gráficas a color sobre la "Bomba Orsini", carteles del Salón Refractario, un comunicado de C.O.A.I.N., publicaciones del colectivo Equipo Múltiple (1969-1972), dossier de prensa e impresos de los "Textos refractarios" de Alí Calabrés (Emilio Sola). Segunda carpeta rotulada "EL LIBRO ROJO" con collages originales de Kiko Rivas.</t>
  </si>
  <si>
    <t>PUBLICACIONES-C010-P002</t>
  </si>
  <si>
    <t>[Carpeta 2: Antonio Pérez y documentacion variada]</t>
  </si>
  <si>
    <t>Reúne documentación producida, reunida e interpuesta por Antonio Pérez. El conjunto integra impresos y ensayos del autor, una carpeta de conservación con los textos titulados "La internacional de la credulidad", impresiones fotográficas a color en formato DIN A4 y un soporte óptico (CD-ROM) rotulado "Tres dibujos yanomami" de marzo de 2005. Se completa con documentación y propaganda de carácter político, un ejemplar del "Boletín 00" (marzo de 1999), varios expedientes judiciales compuestos por sentencias, resoluciones y recursos de apelación, y un ejemplar impreso de la pieza dramática "Venganza picoleta" (tragicomedia de actualidad en tres actos) firmada por Euclides Perdomo.</t>
  </si>
  <si>
    <t>PUBLICACIONES-C011</t>
  </si>
  <si>
    <t>[Caja 11: Kiko Rivas y Antonio Pérez 2 de 2]</t>
  </si>
  <si>
    <t>Reúne documentación de Antonio Pérez y Francisco Rivas (Kiko Rivas) (1956-2006). Incluye un ejemplar de la novela "Dos amigos casuales" (1956), borradores con correcciones autógrafas de Antonio Pérez, materiales del seminario de la Fundación César Manrique (2006), carpetas temáticas y dos CD-ROM. Se completa con los expedientes organizativos, impresos de difusión (carteles y afiches), dossier de prensa y reportajes fotográficos a color de la exposición en homenaje a Kiko Rivas en la Nelson Gallery ("A Grazalema es el lema, C.O.A.I.N. archivo Q, Nelson Gallery").</t>
  </si>
  <si>
    <t>PUBLICACIONES-C011-P001</t>
  </si>
  <si>
    <t>[Carpeta 1: Antonio Pérez documentación personal, de investigación y producción intelectual]</t>
  </si>
  <si>
    <t>Reúne documentación personal, de investigación y producción intelectual de Antonio Pérez. El conjunto contiene un ejemplar impreso de su novela "Dos amigos casuales" (1956), borradores manuscritos e impresos con correcciones autógrafas del autor, materiales preparatorios para el seminario "Una visión territorial integrada de las islas" (Fundación César Manrique, 2006) y la carpeta rotulada "Canal historia masonería". Se completa con impresiones fotográficas a color con retratos de Kiko Rivas y Rafael Zarza y otros, reproducciones en blanco y negro y dos soportes ópticos (CD-ROM) etiquetados "Un rey golpe a golpe" y "Agosto 04 Antonio Pérez" (2004).</t>
  </si>
  <si>
    <t>PUBLICACIONES-C011-P002</t>
  </si>
  <si>
    <t>[Carpeta 2: Kiko Rivas "A Grazalema es el lema"]</t>
  </si>
  <si>
    <t>Carpeta de conservación rotulada "A Grazalema es el lema, C.OA.I.N. archivo Q, Nelson Gallery". Reúne documentación organizativa manuscrita, impresos de difusión (afiches y carteles) y registros gráficos de la exposición conmemorativa en homenaje a Francisco Rivas (Kiko Rivas) celebrada en la Nelson Gallery. El conjunto incluye impresiones y copias reprográficas a color con vistas de las galerías, piezas exhibidas y retratos de artistas participantes (Rafael Zarza, Kiko Rivas, Sonia, Marc Viaplana, Willy Dick, David Rag Cutter y Loncho Gil), así como recortes de prensa, fotografías del panteón familiar de Kiko Rivas, la guía de instrucciones para la confección de una cápsula del tiempo conmemorativa y muestras impresas de la tipografía Orsini.</t>
  </si>
  <si>
    <t>EXPOSICIONES-C012</t>
  </si>
  <si>
    <t>[Caja 12: Catálogos de exposiciones artísticas]</t>
  </si>
  <si>
    <t>1 caja de archivo definitivo (contiene 1 carpeta de conservación).</t>
  </si>
  <si>
    <t>Reúne catálogos de exposiciones artísticas y publicaciones monográficas de diversos creadores.</t>
  </si>
  <si>
    <t>Cabe mas material</t>
  </si>
  <si>
    <t>EXPOSICIONES-C012-P001</t>
  </si>
  <si>
    <t>[Carpeta 1: Catálogos de exposiciones artísticas y publicaciones monográficas]</t>
  </si>
  <si>
    <t>[s.f.] - 1999</t>
  </si>
  <si>
    <t>Reúne catálogos de exposiciones artísticas y publicaciones monográficas de diversos creadores (1995-1999). El conjunto contiene catálogos de las exposiciones individuales de Arturo Marián Llanos ("Viento de lo otro", 1998), Carlos García-Alix, Carlos Blochs ("Sombras") y Teresa Lanceta (Galería Miguel Espel, 1995). Se completa con ejemplares de las publicaciones "Qué hago aquí" (1999), "La estación sin nombre" de Emilio Sola y la monografía "Industrial Revolution and Social Reform in the Manchester Region".</t>
  </si>
  <si>
    <t>PUBLICACIONES-C013</t>
  </si>
  <si>
    <t>[Caja 13: Material gráfico, prensa e impresos de propaganda de temática política y libertaria]</t>
  </si>
  <si>
    <t>Reúne material gráfico, prensa e impresos de propaganda de temática política y libertaria. Incluye una fotografía original (en blanco y negro) de Javier Campano del mitin confederal de San Sebastián de los Reyes ("Javier Campano. Mitin confederal de San Sebastián de los Reyes, Madrid, 1977"), dos ejemplares del periódico "CNT" (2005) y copias reprográficas de publicaciones y fanzines ideológicos.</t>
  </si>
  <si>
    <t>PUBLICACIONES-C013-P001</t>
  </si>
  <si>
    <t>[Carpeta 1: Fotografía original (en blanco y negro) realizada por el fotógrafo Javier Campano y otros documentos]</t>
  </si>
  <si>
    <t>Reúne material gráfico e impresos de carácter político. Contiene una fotografía original (en blanco y negro) realizada por el fotógrafo Javier Campano, con titulación en el anverso "Javier Campano. Mitin confederal de San Sebastián de los Reyes, Madrid, 1977", en la que se registra la composición del símbolo anarquista formado con envases de bebida sobre el suelo en el transcurso del acto político. Se completa con ediciones originales y copias reprográficas de publicaciones y fanzines de propaganda ideológica.</t>
  </si>
  <si>
    <t>PUBLICACIONES-C013-P002</t>
  </si>
  <si>
    <t>[Carpeta 2: Publicaciones seriadas y prensa ideológica]</t>
  </si>
  <si>
    <t>Reúne publicaciones seriadas y prensa ideológica. El conjunto contiene dos ejemplares impresos del periódico "CNT" correspondientes a la edición de marzo de 2005, así como copias reprográficas de publicaciones periódicas, fanzines e impresos de propaganda de temática política y libertaria.</t>
  </si>
  <si>
    <t>AUDIOVISUAL-C014</t>
  </si>
  <si>
    <t>[Caja 14: 19 cajas de diapositivas]</t>
  </si>
  <si>
    <t>1 caja de archivo definitivo (contiene 14 cajas de diapositivas).</t>
  </si>
  <si>
    <t>Colección de material audiovisual integrada por 19 cajas originales de diapositivas. Los contenedores de conservación se conservan en su mayoría desprovistos de rotulación, con excepción de dos unidades que presentan los epígrafes "Madrid Royal" y "Dinsa Barcelona".</t>
  </si>
  <si>
    <t>AUDIOVISUAL-C015</t>
  </si>
  <si>
    <t>[Caja 15: 18 cajas de diapositivas]</t>
  </si>
  <si>
    <t>1 caja de archivo definitivo (contiene 18 cajas de diapositivas).</t>
  </si>
  <si>
    <t>Colección de material audiovisual organizada en 18 cajas de conservación reinstaladas, procedentes de un lote de diapositivas que presentaba un estado de conservación deficiente y desmembración del ordenamiento físico original. El conjunto conserva un contenedor original rotulado "Salesianas Madrid", así como las cartelas y etiquetas originales en cartulina con clasificaciones geográficas ("Navarra", "Vasconia", "Castilla León", "Castilla La Mancha", "Cataluña"), desprendidas de sus antiguos recipientes y con presencia de residuos de elementos adhesivos sintéticos que han sido destruidas.</t>
  </si>
  <si>
    <t>AUDIOVISUAL-C016</t>
  </si>
  <si>
    <t>[Caja 16: 20 cajas de diapositivas]</t>
  </si>
  <si>
    <t>1 caja de archivo definitivo (contiene 20 cajas de diapositivas).</t>
  </si>
  <si>
    <t>Colección de material audiovisual integrada por diapositivas, reinstalada en 20 cajas de conservación derivadas de la transferencia de sus fundas archivadoras plásticas originales de anillas. La unidad presenta un estado de conservación deficiente debido a degradación térmica y adherencias físico-químicas de las fundas sobre las emulsiones fotográficas, habiéndose mantenido la secuencia y el ordenamiento físico primitivos para garantizar la integridad del conjunto.</t>
  </si>
  <si>
    <t>EXPOSICIONES-C017</t>
  </si>
  <si>
    <t>[Caja 17: Proyecto expositivo Kindel]</t>
  </si>
  <si>
    <t>[ca. 1945 - ca. 2007]</t>
  </si>
  <si>
    <t>Reúne expedientes y borradores de proyectos expositivos y culturales (1945-2007). Incluye la documentación sobre el fotógrafo Joaquín del Palacio (Kindel) y su exposición en la Fundación COAM (2007), con carpetas temáticas ("Kindel Bilbao", "Kindel Mallorca", "Kindel Extremadura"), contactos fotográficos anotados y un DVD. Se completa con el proyecto de Rafael Zarza y Diego Carrasco "Luis Cernuda, escondido en los muros" (2002).</t>
  </si>
  <si>
    <t>EXPOSICIONES-C017-P001</t>
  </si>
  <si>
    <t>[Carpeta 1: Kindel]</t>
  </si>
  <si>
    <t>Documentación técnica, administrativa y de comisariado para la organización de proyectos expositivos sobre el fotógrafo Joaquín del Palacio (Kindel), entre los que figura la exposición celebrada en la Fundación del Colegio Oficial de Arquitectos de Madrid (COAM) en junio de 2007. El conjunto integra las carpetas de conservación tituladas "Kindel Bilbao", "Kindel arquitecto no selección", "gestión urgente archivos pendiente", "Kindel Mallorca", "Kindel Extremadura" y "1945 Extremadura 1947 propuesta de exposición", memorias descriptivas de montaje, copias reprográficas de hojas de contactos fotográficos con anotaciones manuscritas, un soporte óptico (DVD) y el sobre rotulado "DVD Kindel" con documentación complementaria de gestión expositiva.</t>
  </si>
  <si>
    <t>EXPOSICIONES-C017-P002</t>
  </si>
  <si>
    <t>[Carpeta 2: Luis Cernuda-Escondido en los muros]</t>
  </si>
  <si>
    <t>Reúne el expediente y borrador preparatorio del proyecto titulado "Luis Cernuda, escondido en los muros", elaborado por Rafael Zarza y Diego Carrasco en Madrid (mayo de 2002). El conjunto comprende la carpeta principal con la memoria descriptiva y la etiqueta manuscrita "Anexo 3, una justificación posible para proyecto, materiales diversos", acompañada de una segunda carpeta de conservación con la documentación borrador y los antecedentes de trabajo utilizados en la formulación del proyecto.</t>
  </si>
  <si>
    <t>EXPOSICIONES-C018</t>
  </si>
  <si>
    <t>[Caja 18: Las otras galerías: del panóptico de Bentham al panóptico digital (La cárcel y las bellas artes en la época moderna)_1]</t>
  </si>
  <si>
    <t>[ca. 1991 - ca. 2003]</t>
  </si>
  <si>
    <t xml:space="preserve">Reúne el archivo de investigación y documentación preparatoria acumulado por Francisco Rivas (Kiko Rivas) y Rafael Zarza para el proyecto expositivo "Las otras galerías: del panóptico de Bentham al panóptico digital (La cárcel y las bellas artes en la época moderna)" </t>
  </si>
  <si>
    <t>EXPOSICIONES-C018-P001</t>
  </si>
  <si>
    <t>[Carpeta 1: Las otras galerías]</t>
  </si>
  <si>
    <t>Reúne materiales de investigación y documentación preparatoria acumulados para el proyecto expositivo "Las otras galerías: del panóptico de Bentham al panóptico digital (La cárcel y las bellas artes en la época moderna)", elaborado en colaboración por Francisco Rivas (Kiko Rivas) y Rafael Zarza. El conjunto contiene un ejemplar de la revista "Número", un ejemplar de la publicación seriada "Colors 50" (titulado "Prisión", de julio de 2002) y la carpeta de conservación rotulada "Organismos de apoyo a presos. Apoyo organiz.", comprensiva de impresos y documentación informativa sobre asociaciones de asistencia a reclusos.</t>
  </si>
  <si>
    <t>EXPOSICIONES-C018-P002</t>
  </si>
  <si>
    <t>[Carpeta 2: Las otras galerías]</t>
  </si>
  <si>
    <t>Reúne materiales de investigación y documentación preparatoria acumulados para el proyecto expositivo "Las otras galerías: del panóptico de Bentham al panóptico digital (La cárcel y las bellas artes en la época moderna)", elaborado en colaboración por Francisco Rivas (Kiko Rivas) y Rafael Zarza. Agrupación de carpetas de conservación temáticas con documentación de investigación, copias reprográficas y material gráfico acumulados para el estudio de los sistemas penitenciarios, la arquitectura carcelaria y la represión política. El conjunto reúne la carpeta rotulada "Cárceles. Imágenes varias" junto con un póster impreso (en blanco y negro), y las carpetas tituladas "Pintores encarcelados en el franquismo", "Cárceles. Architect.", "Cárceles antiguas. Torre de Londres. Restos", "Cine", "Música" y "Gulag. Campos concentración nazis. Portugal. Tarrafal".</t>
  </si>
  <si>
    <t>EXPOSICIONES-C019</t>
  </si>
  <si>
    <t>[Caja 19: Las otras galerías: del panóptico de Bentham al panóptico digital (La cárcel y las bellas artes en la época moderna)_2]</t>
  </si>
  <si>
    <t>EXPOSICIONES-C019-P001</t>
  </si>
  <si>
    <t>Reúne materiales de investigación y documentación preparatoria acumulados para el proyecto expositivo "Las otras galerías: del panóptico de Bentham al panóptico digital (La cárcel y las bellas artes en la época moderna)", elaborado en colaboración por Francisco Rivas (Kiko Rivas) y Rafael Zarza. El conjunto reúne la carpeta de compilación poética titulada "Golpes y gritos. Compilación poemas carcelarios", las carpetas temáticas "Galería de ilustres", "Fugas", "Tercer mundo" y "Literatura", pósters impresos e impresiones fotográficas (en blanco y negro). Se completa con seis soportes ópticos (CD-ROM) con archivos digitales y catálogos de feria/museo, rotulados "Las otras galerías", "Vivan los hombres libres. MEIAC Arco 2003", "Encarcélate DVD", "Catálogo Arco MEIAC Memoriam", "Documento Otras Galerías 4 julio 2002" y una unidad sin titulación legible.</t>
  </si>
  <si>
    <t>EXPOSICIONES-C019-P002</t>
  </si>
  <si>
    <t>Reúne materiales de investigación y documentación preparatoria acumulados para el proyecto expositivo "Las otras galerías: del panóptico de Bentham al panóptico digital (La cárcel y las bellas artes en la época moderna)", elaborado en colaboración por Francisco Rivas (Kiko Rivas) y Rafael Zarza. Reúne publicaciones monográficas, fanzines de propaganda y carpetas de investigación sobre el sistema penitenciario, represión política y subcultura carcelaria. El conjunto incluye un ejemplar de la monografía "La cárcel modelo de Barcelona (1904-2004)", un ejemplar del fanzine "Anarquía y comunismo, Estado chileno" (otoño de 2017) y carpetas de conservación temáticas tituladas "Cárceles niños", "Humor cómics", "Cárcel / drogas, tatuajes, subcultura carcelaria", "Cárceles españolas, cárceles franquistas, checas, campo de concentración españoles, COPEL" y "Reportajes, recortes, varios, cárceles". Se completa con ejemplares de prensa plegados, fanzines ideológicos y dossiers con recortes de prensa originales y en copias reprográficas.</t>
  </si>
  <si>
    <t>EXPOSICIONES-C020</t>
  </si>
  <si>
    <t>[Caja 20: Las otras galerías: del panóptico de Bentham al panóptico digital (La cárcel y las bellas artes en la época moderna)_3]</t>
  </si>
  <si>
    <t>EXPOSICIONES-C020-P001</t>
  </si>
  <si>
    <t>Reúne materiales de investigación y documentación preparatoria acumulados para el proyecto expositivo "Las otras galerías: del panóptico de Bentham al panóptico digital (La cárcel y las bellas artes en la época moderna)", elaborado en colaboración por Francisco Rivas (Kiko Rivas) y Rafael Zarza. Agrupación de carpetas de conservación temáticas con dossiers de prensa, impresos y copias reprográficas de investigación sobre creación artística, literatura y ámbito penitenciario. El conjunto reúne las carpetas rotuladas "Literatura. Recortes, prensa, noticias, cárcel, varias", "Pintores a considerar. Arte y cárcel", "El Rubio" y "Reportajes documentales", así como una carpeta desprovista de titulación comprensiva de recortes de prensa e impresos de trabajo.</t>
  </si>
  <si>
    <t>EXPOSICIONES-C020-P002</t>
  </si>
  <si>
    <t>Reúne materiales de investigación y documentación preparatoria acumulados para el proyecto expositivo "Las otras galerías: del panóptico de Bentham al panóptico digital (La cárcel y las bellas artes en la época moderna)", elaborado en colaboración por Francisco Rivas (Kiko Rivas) y Rafael Zarza. Reúne publicaciones monográficas, revistas periódicas e impresos de difusión sobre temática social, política y penitenciaria. El conjunto incluye un ejemplar de la monografía ilustrada en francés "La police des images", un ejemplar de la revista "Quimera" (número 128) y un ejemplar de la publicación "Historia 16" (octubre de 1978) con el monográfico "Cárceles en España". Se completa con la publicación "Sueño de libertad. Asociación de presos y represaliados políticos antifranquistas" con impresos de prensa encartados, copias reprográficas a color de reproducciones artísticas, una composición gráfica atribuida a Josechu Dávila en soporte de papel vegetal rotulada "15 céntimos impresión. Cebolla vegetal A4 Aurelio", folletos, notas manuscritas con directorios de contactos y páginas de prensa impresa.</t>
  </si>
  <si>
    <t>EXPOSICIONES-C021</t>
  </si>
  <si>
    <t>[Caja 21: Las otras galerías: del panóptico de Bentham al panóptico digital (La cárcel y las bellas artes en la época moderna)_4]</t>
  </si>
  <si>
    <t>EXPOSICIONES-C021-P001</t>
  </si>
  <si>
    <t>Reúne materiales de investigación y documentación preparatoria acumulados para el proyecto expositivo "Las otras galerías: del panóptico de Bentham al panóptico digital (La cárcel y las bellas artes en la época moderna)", elaborado en colaboración por Francisco Rivas (Kiko Rivas) y Rafael Zarza. Agrupación de fundas y carpetas de conservación de plástico comprensivas de documentación de trabajo e investigación preparatoria para el proyecto. El conjunto reúne copias reprográficas (monocromáticas y a color) de textos impresos con anotaciones manuscritas autógrafas sobre los soportes, recortes de prensa impresos, impresiones digitales de bocetos de diseño preparatorios y reproducciones de ilustraciones y material gráfico de trabajo.</t>
  </si>
  <si>
    <t>EXPOSICIONES-C021-P002</t>
  </si>
  <si>
    <t>Reúne materiales de investigación y documentación preparatoria acumulados para el proyecto expositivo "Las otras galerías: del panóptico de Bentham al panóptico digital (La cárcel y las bellas artes en la época moderna)", elaborado en colaboración por Francisco Rivas (Kiko Rivas) y Rafael Zarza. Agrupación de fundas y carpetas de conservación de plástico comprensivas de documentación de trabajo e investigación preparatoria para uel proyecto. El conjunto reúne copias reprográficas (monocromáticas y a color) de textos impresos con anotaciones manuscritas autógrafas sobre los soportes, recortes de prensa impresos, impresiones digitales de bocetos de diseño preparatorios y reproducciones de ilustraciones y material gráfico de trabajo.</t>
  </si>
  <si>
    <t>EXPOSICIONES-C022</t>
  </si>
  <si>
    <t>[Caja 22: Las otras galerías: del panóptico de Bentham al panóptico digital (La cárcel y las bellas artes en la época moderna)_5]</t>
  </si>
  <si>
    <t>EXPOSICIONES-C022-P001</t>
  </si>
  <si>
    <t>EXPOSICIONES-C022-P002</t>
  </si>
  <si>
    <t>Reúne materiales de investigación y documentación preparatoria acumulados para el proyecto expositivo "Las otras galerías: del panóptico de Bentham al panóptico digital (La cárcel y las bellas artes en la época moderna)", elaborado en colaboración por Francisco Rivas (Kiko Rivas) y Rafael Zarza. Reúne fundas de plástico y carpetas de conservación con material preparatorio para el proyecto expositivo. El conjunto integra copias reprográficas (en blanco y negro) de planos arquitectónicos, dibujos e ilustraciones de centros carcelarios, la carpeta titulada "La cárcel por dentro. Dibujos de Luis Quintanilla (1934)" con prólogo de Julián Zugazagoitia y reproducciones de retratos a lápiz de reclusos, así como la copia reprográfica de la monografía "Golpes y gritos. Poemas en la cárcel", compilada por Daniel Pont.</t>
  </si>
  <si>
    <t>EXPOSICIONES-C022-P003</t>
  </si>
  <si>
    <t>[Carpeta 3: Las otras galerías]</t>
  </si>
  <si>
    <t>Reúne materiales de investigación y documentación preparatoria acumulados para el proyecto expositivo "Las otras galerías: del panóptico de Bentham al panóptico digital (La cárcel y las bellas artes en la época moderna)", elaborado en colaboración por Francisco Rivas (Kiko Rivas) y Rafael Zarza. Reúne soportes audiovisuales y digitales vinculados al proyecto expositivo. El conjunto contiene una videocinta en soporte magnético (VHS) sin rotulación y siete soportes ópticos (CD-ROM) con bancos de imágenes, registros audiovisuales y catálogos de exposiciones, titulados "Cárcel 260 imágenes + vídeo" (16 de enero de 2002), "Galerías del otro lado" (tres unidades), "Cárcel 90 primeras imágenes", "Dalmaz Isaiz Díaz" y "Arco MEIAC 2003 Obras", junto con la funda de conservación desprovista de disco etiquetada "Catálogo Arco MEIAC Memoria".</t>
  </si>
  <si>
    <t>EXPOSICIONES-C023</t>
  </si>
  <si>
    <t>[Caja 23: Las otras galerías: del panóptico de Bentham al panóptico digital (La cárcel y las bellas artes en la época moderna)_6]</t>
  </si>
  <si>
    <t>EXPOSICIONES-C023-P001</t>
  </si>
  <si>
    <t>Reúne materiales de investigación y documentación preparatoria acumulados para el proyecto expositivo "Las otras galerías: del panóptico de Bentham al panóptico digital (La cárcel y las bellas artes en la época moderna)", elaborado en colaboración por Francisco Rivas (Kiko Rivas) y Rafael Zarza. Reúne publicaciones seriadas, monografías y material de diseño expositivo. El conjunto contiene ejemplares de la revista "Punto de Fuga" (número 10 de marzo de 2011 y número 11 de julio de 2012), un ejemplar en lengua portuguesa de "Historias do cárcere" de Juan Gómez Casas (serie "Cadernos Peninsulares"), un ejemplar de la monografía "You Are Under Arrest (2000-2002)" de Jonathan Hernández y un ejemplar de la revista "Educación y Biblioteca" (diciembre de 1997) con el monográfico "Servicios bibliotecarios en las prisiones". Se completa con recortes de prensa impresos con anotaciones manuscritas, copias reprográficas y la reproducción de un plano arquitectónico en vista cenital para el diseño del espacio expositivo.</t>
  </si>
  <si>
    <t>EXPOSICIONES-C023-P002</t>
  </si>
  <si>
    <t>Reúne materiales de investigación y documentación preparatoria acumulados para el proyecto expositivo "Las otras galerías: del panóptico de Bentham al panóptico digital (La cárcel y las bellas artes en la época moderna)", elaborado en colaboración por Francisco Rivas (Kiko Rivas) y Rafael Zarza. El conjunto contiene reportajes fotográficos originales de recintos carcelarios y armamento de fabricación artesanal, tarjetas gráficas con inscripciones manuscritas tituladas "Giovanni Barchia. Desde el abismo carcelario", recortes de prensa, folletos y un sobre de correspondencia de Francisco Rivas dirigido a Sara Maneiro. Se completa con cinco soportes ópticos (CD-ROM) con archivos digitales y bancos de imágenes de las ferias de arte (rotulados "Alonso Gil. Prisioneros. Óleo sobre lienzo 2002", "Refractor. Movidas varias a seleccionar", "Arco Meiac 2003 Obras", "Otras galerías" y "Fotos stand. Otras galas. Arco 2003 Montse"), así como ejemplares monográficos de los libros "Burgos. Prisión central" de Antonio G. Pericás, "Prison Works" y la publicación en francés "Les prisons de Franco" con elementos autoadhesivos de señalización de lectura.</t>
  </si>
  <si>
    <t>EXPOSICIONES-C024</t>
  </si>
  <si>
    <t>[Caja 24: Las otras galerías: del panóptico de Bentham al panóptico digital (La cárcel y las bellas artes en la época moderna)_7]</t>
  </si>
  <si>
    <t>EXPOSICIONES-C024-P001</t>
  </si>
  <si>
    <t>[Carpeta 1: Las otras galerías. Posible proyecto final]</t>
  </si>
  <si>
    <t xml:space="preserve">Reúne el archivo de investigación y documentación preparatoria acumulado por Francisco Rivas (Kiko Rivas) y Rafael Zarza para el proyecto expositivo "Las otras galerías: del panóptico de Bentham al panóptico digital (La cárcel y las bellas artes en la época moderna)" Reúne el expediente borrador y la documentación técnica final del proyecto expositivo sobre la institución carcelaria, conservado en carpeta de plástico y con desmembración del ordenamiento físico original. El conjunto integra copias reprográficas (en blanco y negro) de textos e ilustraciones con anotaciones manuscritas autógrafas sobre los soportes, impresiones a color de piezas artísticas y espacios expositivos, ensayos de diseño de cubierta con variantes tipográficas tituladas "Del panóptico de Bentham al panóptico digital", alzados arquitectónicos y planos de recintos penitenciarios en vista cenital, borradores de texto con correcciones, hojas de trabajo numeradas y  listados de artistas participantes.
</t>
  </si>
  <si>
    <t>PUBLICACIONES-C025</t>
  </si>
  <si>
    <t>[Caja 25: La Infiltración]</t>
  </si>
  <si>
    <t>[ca. 2002 - ca. 2008]</t>
  </si>
  <si>
    <t>Reúne expedientes de preproducción, diseño gráfico y propaganda de las publicaciones seriadas "La Infiltración" y "Refractor" (2002-2008). El conjunto contiene maquetas de imprenta (monstruos), manuscritos autógrafos, ilustraciones de Rafael Zarza ("Un infiltrado se las ve venir"), bocetos de logotipo sobre papel de seda, collages, pasquines ("La CNT volverá a ser la leche") y dos ejemplares del periódico "CNT" (2008). Se completa con dossiers de exposiciones ("Poca plata" en el espacio Cruce), la carpeta "Textos varios Refractor Infiltración Escoria", un soporte magnético (disquete 3,5"), materiales de la CIA ("Conspiración Internacional Anarquista") y la revista "Semana" (2002).</t>
  </si>
  <si>
    <t>PUBLICACIONES-C025-P001</t>
  </si>
  <si>
    <t>[Carpeta 1: Materiales de preproducción, diseño y difusión de las publicaciones "La Infiltración"]</t>
  </si>
  <si>
    <t>Agrupación de carpetas de conservación y materiales de preproducción, diseño y difusión de las publicaciones "La Infiltración" y "Refractor" (ca. 2008). Reúne la carpeta "La Infiltración 3-8 MY" con maquetas de imprenta (monstruos), manuscritos autógrafos del equipo editorial, ilustraciones de Rafael Zarza ("Un infiltrado se las ve venir"), bocetos anarquistas, material tridimensional (recortables y collages "No ahorreís en pintura, Ediciones Refractarias") y dos ejemplares de la publicación "CNT" (números 345 y 346 de 2008). Se completa con el pasquín "La CNT volverá a ser la leche", la carpeta "Poca plata" con papelería timbrada, un soporte magnético (disquete 3,5") rotulado "La Infiltración", un sobre de conservación con el material de la exposición "Poca plata" celebrada en el espacio Cruce, la carpeta "Textos varios Refractor Infiltración Escoria" con borradores e impresos corregidos autógrafamente y pruebas preparatorias de impresión.</t>
  </si>
  <si>
    <t>PUBLICACIONES-C025-P002</t>
  </si>
  <si>
    <t>[Carpeta 2: "La Infiltración" (ca. 2002). Borradores e impresos con correcciones manuscritas autógrafas]</t>
  </si>
  <si>
    <t>Carpeta de conservación en color negro sin rotular con expediente de trabajo y diseño gráfico de la publicación seriada "La Infiltración" (ca. 2002). Reúne borradores e impresos con correcciones manuscritas autógrafas, material gráfico e informativo sobre la CIA ("Conspiración Internacional Anarquista"), composiciones originales en collage, estudios de diseño para el cartel "COAIN Insértate" con fotocomposición de máquinas de pinball y bocetos del logotipo de "La Infiltración" trazados a lápiz sobre papel de seda. Se completa con notas manuscritas, reportajes fotográficos (en blanco y negro), impresos sueltos y un ejemplar de la revista "Semana" (11 de septiembre de 2002).</t>
  </si>
  <si>
    <t>PUBLICACIONES-C026</t>
  </si>
  <si>
    <t>[Caja 26: Materiales Refractor]</t>
  </si>
  <si>
    <t>[ca. 1997 - ca. 2003]</t>
  </si>
  <si>
    <t>Reúne documentación de contexto, preproducción y materiales de difusión vinculados a la publicación "Refractor", Rafael Zarza, los actos en homenaje a Kiko Rivas y la exposición para el MEIAC en ARCO 2003 (1997-2003). El conjunto incluye maquetas de imprenta (monstruos) para la muestra de Grazalema ("ZRZ, 'Tan solo una ilusión'"), la funda de plástico "CNT Revolución Española varios", ejemplares de "CNT" y "El Plante", el sobre "Programas, folletos varios de arte paralelo a Refractor", la carpeta "Diversos papeles para contextualizar el momento (1997-2003)" y carteles a doble cara en DIN A2 de "Las otras galerías. La cárcel y las bellas artes en la época moderna".</t>
  </si>
  <si>
    <t>PUBLICACIONES-C026-P001</t>
  </si>
  <si>
    <t>[Carpeta 1: Reúne documentación de contexto, materiales de preproducción y folletos de difusión vinculados a la publicación "Refractor"]</t>
  </si>
  <si>
    <t>Reúne documentación de contexto, materiales de preproducción y folletos de difusión vinculados a la publicación "Refractor", el artista Rafael Zarza y los actos en homenaje a Francisco Rivas (Kiko Rivas) (1997-2003). El conjunto incluye la maqueta de preproducción (monstruo de imprenta) para la exposición de Grazalema rotulada "ZRZ, 'Tan solo una ilusión', monstruo para expo Grazalema honor a Q", la funda de plástico "CNT Revolución Española varios" con recortes de prensa, ejemplares de las publicaciones seriadas "CNT" y "El Plante", el sobre con impresos y programas de mano titulado "Programas, folletos varios de arte paralelo a Refractor" y la carpeta de antecedentes de Rafael Zarza "Diversos papeles para contextualizar el momento (1997-2003)".</t>
  </si>
  <si>
    <t>EXPOSICIONES-C026-P002</t>
  </si>
  <si>
    <t>[Carpeta 2:  Pósters promocionales impresos a doble cara en formato DIN A2, "Las otras galerías" ]</t>
  </si>
  <si>
    <t>[ca. 2003]</t>
  </si>
  <si>
    <t>Conjunto de pósters promocionales impresos a doble cara en formato DIN A2, titulados "Las otras galerías. La cárcel y las bellas artes en la época moderna" (ca. 2003). La documentación constituye el material impreso de difusión y avance del proyecto expositivo comisariado por Francisco Rivas (Kiko Rivas) y Rafael Zarza para el Museo Extremeño e Iberoamericano de Arte Contemporáneo (MEIAC), presentado en el marco de la feria de arte ARCO 2003. El impreso incluye en el anverso la reproducción gráfica de una celda penitenciaria con texto sobreimpreso y en el reverso una selección de las piezas artísticas exhibidas junto con la relación de participantes.</t>
  </si>
  <si>
    <t>PUBLICACIONES-C027</t>
  </si>
  <si>
    <t>[Caja 26: "Archivo Refractor de Kiko Falcón Víctor Nero"]</t>
  </si>
  <si>
    <t>Carpeta en color granate rotulada "Archivo Refractor de Kiko Falcón Víctor Nero" y carpeta miscelanea  "Acta 2. Kiko Rivas, archivo y cárcel".</t>
  </si>
  <si>
    <t>PUBLICACIONES-C027-P001</t>
  </si>
  <si>
    <t>[Carpeta 1: "Archivo Refractor de Kiko Falcón Víctor Nero"]</t>
  </si>
  <si>
    <t>Carpeta en color granate rotulada "Archivo Refractor de Kiko Falcón Víctor Nero". Reúne documentación de producción editorial, difusión y registros gráficos acumulados referidos a la publicación "Refractor". El conjunto contiene ejemplares impresos de la publicación "Refractor", tarjetas de presentación ("El polizón", "Los refractarios", "Dios es negra"), el manuscrito "El segundo salón refractario se prolonga hasta el 30 de enero", pasquines, carteles promocionales (incluyendo el de las actividades en la sede de la calle San Carlos 13) y recortes de prensa originales y reprográficos. Se completa con el dossier informativo del "Segundo Salón Refractario" (1998-1999), mataeriales fotocopiados y corregidos a mano sobre "Los Correctores" de Kiko Rivas (1995-1998), correspondencia vinculada a Alberto García-Alix (París, 2005) y reportajes fotográficos originales de Rafael Montesinos (1998) del acto "El estado es la obra de arte" (calle Bocángel, Madrid), con registros del grupo musical Fac Rag Cutter.</t>
  </si>
  <si>
    <t>PUBLICACIONES-C027-P002</t>
  </si>
  <si>
    <t>[Carpeta 2: Miscelanea]</t>
  </si>
  <si>
    <t>El conjunto incluye un ejemplar del número 2 (junio de 2017) de la publicación "Acta 2. Kiko Rivas, archivo y cárcel", dos ejemplares del catálogo de la exposición "Viento de lo otro" de Arturo Marián Llanos (1998) y una tarjeta postal dirigida a Rafael Zarza. Se completa con un soporte óptico (CD-ROM) rotulado "Negras Tormentas Demo" y correspondencia electrónica impresa de Rafael Zarza dirigida a Ángel Iralta y Antonio Pérez sobre el proyecto del documental "Negras Tormentas, un film en rojo y negro, 1910-2010, Centenario Confederación Nacional del Trabajo".</t>
  </si>
  <si>
    <t>EXPOSICIONES-C028</t>
  </si>
  <si>
    <t>[Caja 28: "Andalucía, hitos y mitos" y "Expo Buades" o otros]</t>
  </si>
  <si>
    <t xml:space="preserve"> Incluye las propuestas expositivas "Andalucía, hitos y mitos" y "Expo Buades", un extracto de la tesis sobre José María de Ucelay, recortes e imágenes de las intervenciones lumínicas en la Puerta de Alcalá y "La noche roja", invitaciones y seis CD-ROM con archivos digitales y fotográficos ("Legado Zarza", "Clase Turista", "Bienes comunes en conflicto").</t>
  </si>
  <si>
    <t>EXPOSICIONES-C028-P001</t>
  </si>
  <si>
    <t>[Carpeta 1: "Expo Buades" y otros documentos]</t>
  </si>
  <si>
    <t>Reúne documentación de proyectos expositivos, investigación académica y soportes digitales. El conjunto contiene la carpeta con la propuesta técnica de proyecto expositivo "Andalucía, hitos y mitos. Propuesta de desarrollo expositivo", un extracto impreso de la tesis doctoral "La obre pictórica de José María  Ucelay. Análisis biográfico y estético" de Kosme María de Barañano Letamendía y la carpeta rotulada "Expo Buades" con borradores e impresos con correcciones manuscritas autógrafas. Se completa con documentos impresos de trabajo, reproducciones reprográficas a color del dossier fotográfico "Carmen Navarrete" y dos soportes ópticos (CD-ROM) rotulados "Ventosilla cumpleaños 2009" y "Mujeres creando".</t>
  </si>
  <si>
    <t>EXPOSICIONES-C028-P002</t>
  </si>
  <si>
    <t>[Carpeta 2: "La noche roja" y otros documentos]</t>
  </si>
  <si>
    <t>El conjunto contiene recortes de prensa e imágenes fotográficas originales del evento "La noche roja" y de la iluminación con rayo laser de la Puerta de Alcalá en Madrid, fotografías de piezas escultóricas y bocetos tridimensionales, así como hojas de contactos fotográficos de montajes expositivos. Se completa con una carpeta con impresos del centro Photocentro, la tarjeta de invitación a la presentación de la novela "El vampiro de las calles de México" de Vicente Molina Foix y cuatro soportes ópticos (CD-ROM) con archivos digitales titulados "Fotos enero febrero 2008, exposición Clase Turista, Zaragoza", "Legado Zarza, escaneado parcialmente diciembre 2004" y "Bienes comunes en conflicto" (9 de julio de 2003).</t>
  </si>
  <si>
    <t>PERSONAL-C029</t>
  </si>
  <si>
    <t>[Caja 29: "ASNAR", "Marías","Luis Suárez. Puerto de Santa María" o otros]</t>
  </si>
  <si>
    <t>El conjunto incluye la carpeta "Archivo Z R Z, recortes, postales, varios" (con postales, bocetos, collages, retratos fotográficos, el borrador "La astrología..." y una radiografía), la carpeta "ASNAR" con recortes satirizados, la carpeta "Marías" con recortes y collages sobre Javier Marías y la publicación "La Canalla", y la carpeta "Luis Suárez. Puerto de Santa María" con correspondencia electrónica y borradores preparatorios para un posible proyecto cinematográfico.</t>
  </si>
  <si>
    <t>PERSONAL-C029-P001</t>
  </si>
  <si>
    <t>[Carpeta 1:  "Archivo Z R Z, recortes, postales, varios", "ASNAR" y otros documentos]</t>
  </si>
  <si>
    <t>El conjunto contiene dos carpetas de color negro (una en símil piel y otra rotulada "Archivo Z R Z, recortes, postales, varios") con tarjetas postales, recortes de prensa, notas autógrafas, bocetos manuscritos, composiciones en collage, retratos fotográficos (en blanco y negro y a color), el borrador de la publicación "La astrología...", entradas de conciertos, una radiografía fotográfica y documentación electoral sobre colegios profesionales de arquitectos. Se completa con la carpeta titulada "ASNAR", comprensiva de recortes de prensa e impresos gráficos satirizados en collage.</t>
  </si>
  <si>
    <t>PERSONAL-C029-P002</t>
  </si>
  <si>
    <t>[Carpeta 2:  "Marías" y "Luis Suárez. Puerto de Santa María"]</t>
  </si>
  <si>
    <t>El conjunto contiene la carpeta rotulada "Marías" (formato DIN A4), comprensiva de recortes de prensa y collages sobre el escritor Javier Marías, el escrito "Unos cuantos supositorios para el merluzo de Trapiello" y documentación sobre la publicación "La Canalla". Se completa con la carpeta titulada "Luis Suárez. Puerto de Santa María", integrada por correspondencia electrónica impresa entre Rafael Zarza y Luis Suárez Ávila y materiales preparatorios para lo que podría ser un proyecto de guion cinematográfico.</t>
  </si>
  <si>
    <t>PERSONAL-C029-P003</t>
  </si>
  <si>
    <t>[Carpeta 3: Registros necrológicos]</t>
  </si>
  <si>
    <t>Reúne documentación de memoria personal, registros necrológicos, publicaciones de homenaje y archivos fotográficos recopilados por Rafael Zarza. El conjunto contiene dos agendas de bolsillo con directorios de contactos, la carpeta de conservación en color negro rotulada "Gus Alito" (con esquelas, retratos fotográficos en blanco y negro, recortes de prensa y notas autógrafas), la filmografía de Gustavo Pérez de Ayala (1977-1995), un soporte óptico (CD-ROM) titulado "Versión reducida" / "Gus by" (octubre de 2006) y un ejemplar de la revista "Dezine" (mayo de 1980). Se completa con el fanzine memorial elaborado artesanalmente a mano por Rafael Zarza dedicado a Rafael Feo (mayo de 2006), comprensivo de collages, notas autógrafas e ilustraciones originales.</t>
  </si>
  <si>
    <t>EXPOSICIONES-C030</t>
  </si>
  <si>
    <t>[Caja 30: "Monumento a los pájaros.", "Por un uso sostenible de los recursos naturales. El futuro está en tus manos. Exposición Invernadero Arganzuela" o otros]</t>
  </si>
  <si>
    <t>[ca. 2010]</t>
  </si>
  <si>
    <t>Reúne expedientes técnicos, galeradas y dossiers de gestión de diversos proyectos expositivos (1999-2010). Incluye la carpeta "Monumento a los pájaros. Hito y mito. Alberto Sánchez" con la documentación de la exposición en la Sala El Águila (2010), fotografías, folleto y dos CD-ROM de Javier Campano. Se completa con las pruebas de imprenta de las muestras sobre Velázquez, Buñuel y Lorca, la carpeta "El color negro está mal de la salud" y el proyecto del Invernadero Arganzuela con planos e impresos.</t>
  </si>
  <si>
    <t>EXPOSICIONES-C030-P001</t>
  </si>
  <si>
    <t>[Carpeta 1:  "Monumento a los pájaros. Hito y mito. Alberto Sánchez"]</t>
  </si>
  <si>
    <t>Carpeta de conservación en color negro (formato DIN A4) rotulada "Monumento a los pájaros. Hito y mito. Alberto Sánchez". Reúne la documentación organizativa, correspondencia electrónica impresa y material gráfico de la exposición sobre la pieza escultórica del artista Alberto Sánchez celebrada en la Sala El Águila de Madrid (22 de marzo a 9 de mayo de 2010). El conjunto contiene impresiones fotográficas a color y copias reprográficas de las salas de exposición y del acto de inauguración institucional con asistencia de autoridades (Esperanza Aguirre), el folleto monográfico "O escultor Alberto" y dos soportes ópticos (CD-ROM) con el reportaje fotográfico del montaje y de las esculturas realizado por Javier Campano ("Fotos montaje Sala El Águila. Expo Alberto" y "Reportaje fotográfico exposición El monumento a los pájaros. Hito y mitos. Una escultura de Alberto Sánchez. Sala El Águila, 22 marzo - 9 mayo 2010").</t>
  </si>
  <si>
    <t>EXPOSICIONES-C030-P002</t>
  </si>
  <si>
    <t>[Carpeta 2:  "Por un uso sostenible de los recursos naturales. El futuro está en tus manos. Exposición Invernadero Arganzuela" y otros materiales]</t>
  </si>
  <si>
    <t>Reúne pruebas de imprenta, proyectos comisariales y documentación técnica de montaje para diversas exposiciones temporales y divulgativas. Se completa con la carpeta del proyecto "El color negro está mal de la salud", una carpeta archivadora de anillas en color negro con copias reprográficas fotográficas y la carpeta titulada "Por un uso sostenible de los recursos naturales. El futuro está en tus manos. Exposición Invernadero Arganzuela", comprensiva materiales diversos.</t>
  </si>
  <si>
    <t>EXPOSICIONES-C031</t>
  </si>
  <si>
    <t>[Caja 31:  "Federico García Lorca. Imágenes, palabras"]</t>
  </si>
  <si>
    <t>Reúne el archivo técnico, comercial, audiovisual e itinerante del proyecto expositivo "Federico García Lorca. Imágenes, palabras". El conjunto comprende carpetas temáticas ("Acto Casa América", "Anaya Legado Andalusí", "Dossier Venta", "FGL Imágenes palabras itinerancia en Japón"), doce CD-ROM, cintas de vídeo MiniDV, el folleto "Qué es España 1929-1930", dossiers de prensa y copias reprográficas fotográficas e impresas.</t>
  </si>
  <si>
    <t>EXPOSICIONES-C031-P001</t>
  </si>
  <si>
    <t>[Carpeta 1:  "Federico García Lorca. Imágenes, palabras" 1]</t>
  </si>
  <si>
    <t>Reúne documentación técnica, administrativa y de difusión correspondiente al proyecto expositivo y editorial "Federico García Lorca. Imágenes, palabras". El conjunto comprende una agrupación de carpetas de conservación en formato DIN A4 (tres de color marrón rotuladas "Acto Casa América", "Anaya Legado Andalusí" y "Dossier Venta", junto con una carpeta de color rojo sin titulación) que contienen borradores impresos de trabajo, dossiers comerciales de gestión y copias reprográficas de material gráfico en blanco y negro.</t>
  </si>
  <si>
    <t>EXPOSICIONES-C031-P002</t>
  </si>
  <si>
    <t>[Carpeta 2:  "Federico García Lorca. Imágenes, palabras" 2]</t>
  </si>
  <si>
    <t>Reúne materiales de gestión, itinerancia internacional y soportes audiovisuales y digitales del proyecto expositivo "Federico García Lorca. Imágenes, palabras". El conjunto incluye la carpeta de conservación titulada "FGL Imágenes palabras itinerancia en Japón" con el calendario de sedes de la itinerancia en Japón, una docena de soportes ópticos (CD-ROM) con rotulación manuscrita, cintas de vídeo de pequeño formato (MiniDV) y el folleto de divulgación "Qué es España 1929-1930". Se completa con dossiers de prensa, copias reprográficas de reportajes fotográficos (en blanco y negro) y carpetas de trabajo con ensayos e impresos de investigación sobre el poeta.</t>
  </si>
  <si>
    <t>EXPOSICIONES-C032</t>
  </si>
  <si>
    <t>[Caja 32:  Exposicion Joaquín del Palacio, Kindel]</t>
  </si>
  <si>
    <t>[ca. 2000 - ca. 2007]</t>
  </si>
  <si>
    <t>Reúne expedientes técnicos, administrativos, financieros y de comisariado de la exposición monográfica dedicada al fotógrafo Joaquín del Palacio (Kindel) en la Fundación COAM (2000-2007), incluyendo la carpeta "Joaquín del Palacio, Kindel" con el contrato de 2000, la carpeta de gestión "Cobros más pagos COAM", el expediente "Montaje Kindel COAM" con la factura de 2007, galeradas corregidas, prensa y reportajes fotográficos originales.</t>
  </si>
  <si>
    <t>EXPOSICIONES-C032-P001</t>
  </si>
  <si>
    <t>[Carpeta 1:  Exposicion Joaquín del Palacio, Kindel 1]</t>
  </si>
  <si>
    <t>Carpeta de conservación en color marrón (formato DIN A4) rotulada "Joaquín del Palacio, Kindel". Reúne el expediente técnico, administrativo y de comisariado para la organización de la exposición monográfica dedicada al fotógrafo Joaquín del Palacio (Kindel). El conjunto contiene un contrato formalizado en Madrid el 31 de mayo de 2000, borradores de texto con correcciones autógrafas, copias reprográficas, ejemplares de prensa impresa de la época y reportajes fotográficos originales (en blanco y negro) en formato menor. Se completa con la carpeta de gestión económica rotulada "Cobros más pagos COAM", comprensiva de documentos de liquidación financiera y notas de trabajo.</t>
  </si>
  <si>
    <t>EXPOSICIONES-C032-P002</t>
  </si>
  <si>
    <t>[Carpeta 2:  Exposicion Joaquín del Palacio, Kindel 2]</t>
  </si>
  <si>
    <t>Expediente de montaje, diseño y gestión técnica de la exposición dedicada al fotógrafo Joaquín del Palacio (Kindel) (ca. 2007). El conjunto reúne la carpeta de conservación en color marrón rotulada "Montaje Kindel COAM" y diversas fundas archivadoras de plástico (formato DIN A4), que contienen borradores impresos de trabajo, reproducciones reprográficas fotográficas y reportajes fotográficos originales con anotaciones manuscritas autógrafas en los soportes. Se completa con la documentación contable y administrativa de la muestra, incluyendo la factura de producción emitida a la Fundación COAM con fecha de 10 de abril de 2007.</t>
  </si>
  <si>
    <t>EXPOSICIONES-C033</t>
  </si>
  <si>
    <t>[Caja 33:  "Federico García Lorca. Imágenes, palabras" y otros documentos]</t>
  </si>
  <si>
    <t>[ca. 1999- ca. 2009]</t>
  </si>
  <si>
    <t>Reúne publicaciones seriadas y expediente de trabajo para la organización del proyecto expositivo "Federico García Lorca. Imágenes, palabras". El conjunto contiene cinco ejemplares impresos de la publicación "Siglo de oro al tercer milenio", correspondencia institucional sobre el proyecto, borradores impresos de texto, reproducciones de reportajes fotográficos, recortes de prensa originales y en copias reprográficas, así como otros documentos no vinculados a la exposición.</t>
  </si>
  <si>
    <t>EXPOSICIONES-C033-P001</t>
  </si>
  <si>
    <t>[Carpeta 1:  "Federico García Lorca. Imágenes, palabras"]</t>
  </si>
  <si>
    <t>EXPOSICIONES-C034</t>
  </si>
  <si>
    <t>[Caja 34:  "Imágenes y palabras de los poetas del 27, primera parte. El deseo"]</t>
  </si>
  <si>
    <t>Agrupación de carpetas de conservación con el expediente técnico, comisarial, económico y documental de proyectos expositivos sobre la Generación del 27 y la Residencia de Estudiantes (1999-2009). El conjunto incluye la carpeta negra "Imágenes y palabras de los poetas del 27, primera parte. El deseo" (con reproducciones de retratos fotográficos, el dossier manuscrito "Dossier Silvia", correspondencia electrónica y un CD-ROM de Telemadrid de 2009), la carpeta marrón con publicaciones sobre Alberto Jiménez Fraud y la Residencia de Estudiantes, la carpeta negra "El pescado no es una lata" con manuscritos autógrafos y justificantes bancarios de presupuestos, y la carpeta roja rotulada "Miró" con un talón bancario del 30 de junio de 1999 (por valor de 2.661 pesetas) y documentación administrativa.</t>
  </si>
  <si>
    <t>EXPOSICIONES-C034-P001</t>
  </si>
  <si>
    <t>[Carpeta 1:  "Imágenes y palabras de los poetas del 27, primera parte. El deseo" y otros cocumentos]</t>
  </si>
  <si>
    <t>EXPOSICIONES-C035</t>
  </si>
  <si>
    <t>[Caja 35:  "Imágenes y palabras de los poetas del 27, primera parte. El deseo"]</t>
  </si>
  <si>
    <t>Proyectos expositivos, investigaciones y licitaciones sobre la Residencia de Estudiantes, ILE y Alberto Sánchez</t>
  </si>
  <si>
    <t>EXPOSICIONES-C035-P001</t>
  </si>
  <si>
    <t>[Carpeta 1:  "La realidad y el deseo. Imágenes y palabras de los poetas del 27" y otros documentos]</t>
  </si>
  <si>
    <t>El conjunto contiene los borradores del proyecto "La realidad y el deseo. Imágenes y palabras de los poetas del 27", junto con un sobre rotulado "V 30 H" que alberga el acta oficial de entrega y recepción suscrita el 28 de junio de 2010 entre la Residencia de Estudiantes (Rosario Romero) y Rafael Zarza Ballugera. Se completa con dossiers de prensa anotados de "Las otras galerías. Kiko Rivas, la cárcel y las bellas artes", la carpeta titulada "Proyecto para el encubramiento del Cerro Testigo Almodovar de Vallecas en Madrid con escultura de Alberto Sánchez" (con memorias de montaje, pruebas de imprenta, el borrador "Monumento a los pájaros. Alberto. Palabras de un escultor" y cartografía topográfica de emplazamiento), así como correspondencia electrónica impresa e imágenes de trabajo.</t>
  </si>
  <si>
    <t>EXPOSICIONES-C035-P002</t>
  </si>
  <si>
    <t>[Carpeta 2:  "Junta para la Ampliación de Estudios (JAE)" y otros documentos]</t>
  </si>
  <si>
    <t>El conjunto contiene el expediente de licitación de la Fundación Francisco Giner de los Ríos (Institución Libre de Enseñanza) para la exposición itinerante sobre la Junta para la Ampliación de Estudios (JAE), comprensivo de contratos, pliegos de prescripciones y manuales de montaje de módulos expositivos. Se completa con las carpetas de los proyectos "Hablaremos de esto dentro de 100 años. Centenario de la Residencia de Estudiantes", "Sobre esto y aquello, escrito de y sobre Luis Lacasa", "Las otras galerías", el borrador de guion "Pantalla de plata. Retrato fílmico de los poetas del 27", las carpetas de investigación "Guiones invariantes arquitectura madrileña" y "Cartografías indígenas", y el expediente fotográfico de una pieza escultórica en cerámica representando una cabeza con escritura manuscrita sobre esta.</t>
  </si>
  <si>
    <t>PERSONAL-C036</t>
  </si>
  <si>
    <t>[Caja 36:  Documentación personal, expediente escolar, y otros]</t>
  </si>
  <si>
    <t>[ca. 1947- s.f.]</t>
  </si>
  <si>
    <t>Reúne documentación personal, expediente escolar, archivo fotográfico e impresos de diseño de Rafael Zarza (1947-1960). Incluye cuadernos académicos del Colegio San Miguel (1947), libretas escolares (1947-1960), dibujos juveniles, la carpeta de fotografías (retratos, paisajes, polaroids y dos CD-ROM), un ejemplar de la revista "Octubre. Escritores y artistas revolucionarios" y la caja "Restos ZRZ acetatos" con acetatos impresos a color.</t>
  </si>
  <si>
    <t>PERSONAL-C036-P001</t>
  </si>
  <si>
    <t>[Carpeta 1:  Cuaderno de certificados académicos y otros documentos]</t>
  </si>
  <si>
    <t>El conjunto contiene su cuaderno de certificados académicos del Colegio San Miguel de Madrid (1 de marzo de 1947), libretas escolares (1947-1960), dibujos e ilustraciones originales de etapa juvenil y la carpeta de conservación en color negro (formato DIN A4) con su archivo fotográfico personal (retratos en blanco y negro y a color, fotografías de gran formato, paisajes y copias fotográficas instantáneas tipo polaroid), dibujos manuales, recortes de prensa y dos soportes ópticos (CD-ROM) rotulados "Más fotos" y "Fotos Pablo".</t>
  </si>
  <si>
    <t>PERSONAL-C036-P002</t>
  </si>
  <si>
    <t>[Carpeta 2:  "Restos ZRZ acetatos" y otros documentos]</t>
  </si>
  <si>
    <t>El conjunto contiene un ejemplar impreso de la revista "Octubre. Escritores y artistas revolucionarios" y una caja de conservación (formato DIN A4) con la rotulación manuscrita "Restos ZRZ acetatos", comprensiva de filminas y soportes plásticos de acetato impresos a color.</t>
  </si>
  <si>
    <t>ARQUITECTURA-C037</t>
  </si>
  <si>
    <t>[Caja 37:  Diploma de los "Premios Nacionales de Urbanismo 1983" y otros]</t>
  </si>
  <si>
    <t>[s.f.- ca. 19893]</t>
  </si>
  <si>
    <t xml:space="preserve"> Reúne publicaciones  y expedientes de arquitectura y urbanismo (ca. 1983). Incluye la colección de láminas "Life Escapes. Pack 2. Home, Neighborhood and Community", el diploma de los "Premios Nacionales de Urbanismo 1983" (Ministerio de Obras Públicas), fotolitos de "Urbanismo en Madrid 1920-1940" y la memoria con planos de la reforma de la vivienda M. Gala en Madrid.</t>
  </si>
  <si>
    <t>ARQUITECTURA-C037-P001</t>
  </si>
  <si>
    <t>[Carpeta 1:  Publicación "Life Escapes"]</t>
  </si>
  <si>
    <t>Reúne el material gráfico correspondiente a la publicación en láminas titulada "Life Escapes. Life Escapes Series. Pack 2. Home, Neighborhood and Community". El conjunto comprende láminas impresas sueltas con reproducciones fotográficas (en blanco y negro) y textos explicativos, acompañadas de tarjetas gráficas impresas a color sobre temas de arquitectura y entorno urbano.</t>
  </si>
  <si>
    <t>ARQUITECTURA-C037-P002</t>
  </si>
  <si>
    <t>[Carpeta 2:  Diploma oficial de concesión de los "Premios Nacionales de Urbanismo 1983" y otros]</t>
  </si>
  <si>
    <t>[ca. 1983]</t>
  </si>
  <si>
    <t>Reúne títulos honoríficos, fotolitos de edición y expedientes de proyectos arquitectónicos y urbanísticos (ca. 1983). El conjunto contiene el diploma oficial de concesión de los "Premios Nacionales de Urbanismo 1983" otorgado por el Ministerio de Obras Públicas y Urbanismo (firmado por Damián Quero Castanys), borradores impresos con correcciones autógrafas de Rafael Zarza, un reportaje fotográfico a color y filminas de acetato fotolitográficas para la publicación "Urbanismo en Madrid 1920-1940". Se completa con el expediente del proyecto arquitectónico de reforma de la vivienda de M. Gala en Madrid (calle Gabriel Abreu, 1), comprensivo de memorias técnicas y planos de construcción.</t>
  </si>
  <si>
    <t>AUDIOVISUAL-C038</t>
  </si>
  <si>
    <t>[Caja 38:  Caja con película "La generación del 27", fotografías de Català-Roca y otros]</t>
  </si>
  <si>
    <t xml:space="preserve"> [ca. 1960-1979]</t>
  </si>
  <si>
    <t xml:space="preserve">Incluye el contenedor metálico circular de laboratorios Riera con la película "La generación del 27", el expediente "Fotoescultura Z R Z + estado mental", la monografía encuadernada "Artes plásticas y generación del 98", reportajes de estudio de Vicente Ibáñez y  Català-Roca (Gran Vía y CD-ROM en caja Ilford) y retratos fotográficos de Mao Zedong y Miguel de Unamuno.
</t>
  </si>
  <si>
    <t>AUDIOVISUAL-C038-P001</t>
  </si>
  <si>
    <t>[Carpeta 1:  Caja con película cinematográfica documental titulada "La generación del 27"]</t>
  </si>
  <si>
    <t>Contenedor metálico de conservación de formato circular para película de cine, con etiqueta "Cinematiraje Riera S.A. Laboratorio cinematográfico" (calle General Díaz Porlier, 101, Madrid). La unidad conserva en su interior una copia de la película cinematográfica documental titulada "La generación del 27".</t>
  </si>
  <si>
    <t>AUDIOVISUAL-C038-P002</t>
  </si>
  <si>
    <t>[Carpeta 2:  Fotografías en blanco y negro de gran formato atribuidas a Català-Roca sobre la Gran Vía madrileña y otros]</t>
  </si>
  <si>
    <t>El conjunto contiene la carpeta "Fotoescultura Z R Z + estado mental" sobre el proyecto "Fotoescultura, un precedente de la imagen tridimensional", con memorias descriptivas, cartografía, correspondencia electrónica y retratos fotográficos perspectivos de Miguel de Unamuno, junto con el volumen encuadernado en canutillo "Artes plásticas y generación del 98". Se completa con un soporte óptico (CD-ROM) en caja Ilford titulado "Foto chicas por G V Catalá Roca", un reportaje de fotografía erótica de las décadas de 1960 y 1970 con sello de estudio de "Vicente Ibáñez, fotógrafo" (Avenida José Antonio 70, Madrid), una fotografía enmarcada, un retrato fotográfico original de Mao Zedong, una serie de fotografías en blanco y negro de gran formato atribuidas a Català-Roca sobre la Gran Vía madrileña.</t>
  </si>
  <si>
    <t>EXPOSICIONES-C039</t>
  </si>
  <si>
    <t>[Caja 39:  "Estudio documental sobre el fenómeno del turismo"  y otros]</t>
  </si>
  <si>
    <t xml:space="preserve"> [ca. 2004-ca.  2011]</t>
  </si>
  <si>
    <t xml:space="preserve">Incluye el proyecto de La Casa Encendida "Estudio documental sobre el fenómeno del turismo" (2004) con planos y presupuesto, la carpeta "Ciudades hechas a mano", el dossier corporativo de producción "Empty SL. Francisco Mínguez y Asociados Producciones" y el número 1 de la revista "Estado mental" (Madrid, 2011, titulado "Tenemos que hablar").
</t>
  </si>
  <si>
    <t>EXPOSICIONES-C039-P001</t>
  </si>
  <si>
    <t>[Carpeta 1:  "Estudio documental sobre el fenómeno del turismo"  y otros]</t>
  </si>
  <si>
    <t xml:space="preserve"> [ca. 2004]</t>
  </si>
  <si>
    <t>Reúne proyectos técnicos de comisariado, diseño museográfico y dossiers corporativos de empresas de producción expositiva. El conjunto contiene el proyecto encuadernado en formato DIN A3 para el centro cultural La Casa Encendida titulado "Estudio documental sobre el fenómeno del turismo. Proyecto exposición. Casa Encendida, Madrid, abril 2004" (con memoria técnica, borrador de catálogo, desglose presupuestario, impresiones gráficas y planos de distribución en planta), la carpeta de proyecto sobre arquitectura y desarrollo urbano "Ciudades hechas a mano" y el dossier corporativo encuadernado en canutillo "Empty SL. Francisco Mínguez y Asociados Producciones", comprensivo de memorias de gestión museográfica y relaciones de proyectos ejecutados.</t>
  </si>
  <si>
    <t>EXPOSICIONES-C039-P002</t>
  </si>
  <si>
    <t>[Carpeta 2:  Publicación "Estado mental"]</t>
  </si>
  <si>
    <t xml:space="preserve"> [ca. 2011]</t>
  </si>
  <si>
    <t>Un ejemplar impreso de la publicación "Estado mental", correspondiente a su número 1 (editado en Madrid en 2011 con el monográfico titulado "Tenemos que hablar"). La edición está impresa a color en formato DIN A4, estructurada en maquetación a varias columnas de texto con reportajes fotográficos e impresos de divulgación.</t>
  </si>
  <si>
    <t>PERSONAL-C040</t>
  </si>
  <si>
    <t>[Caja 40:  Correspondencia]</t>
  </si>
  <si>
    <t>Agrupación documental constituida por tres sobres llenos de correspondencia y documentación manuscrita de carácter personal.</t>
  </si>
  <si>
    <t>PERSONAL-C040-P001</t>
  </si>
  <si>
    <t>[Carpeta 1:  Correspondencia]</t>
  </si>
  <si>
    <t>PERSONAL-C041</t>
  </si>
  <si>
    <t>[Caja 41:  Agendas]</t>
  </si>
  <si>
    <t>Agrupación documental constituida varias agendas personales.</t>
  </si>
  <si>
    <t>PERSONAL-C041-P001</t>
  </si>
  <si>
    <t>[Carpeta 2:  Agendas 1]</t>
  </si>
  <si>
    <t>Reúne una agenda archivadora de anillas de uso personal comprensiva de un tarjetero con datos de contacto, impresos sueltos y notas manuscritas autógrafas encartadas entre sus hojas, acompañada una agenda de cartón.</t>
  </si>
  <si>
    <t>PERSONAL-C041-P002</t>
  </si>
  <si>
    <t>[Carpeta 2:  Agendas 2]</t>
  </si>
  <si>
    <t>Reúne tres agendas manuscritas con apuntes de trabajo, compromisos y anotaciones autógrafas de carácter personal, acompañadas de un bloc de notas.</t>
  </si>
  <si>
    <t>PERSONAL-C042</t>
  </si>
  <si>
    <t>[Caja 42: Agendas]</t>
  </si>
  <si>
    <t xml:space="preserve">Reúne dos agendas de trabajo con apuntes y anotaciones autógrafas de carácter personal, acompañadas de un tarjetero con tarjetas de visita y directorio de contactos profesionales.
</t>
  </si>
  <si>
    <t>PERSONAL-C042-P001</t>
  </si>
  <si>
    <t>[Carpeta 1:  Agendas 3]</t>
  </si>
  <si>
    <t>PERSONAL-C043</t>
  </si>
  <si>
    <t>[Caja 43: Agendas]</t>
  </si>
  <si>
    <t xml:space="preserve">Reúne siete agendas de trabajo con apuntes y anotaciones autógrafas de carácter personal.
</t>
  </si>
  <si>
    <t>PERSONAL-C043-P001</t>
  </si>
  <si>
    <t>[Carpeta 1:  Agendas 4]</t>
  </si>
  <si>
    <t>AUDIOVISUAL-C044</t>
  </si>
  <si>
    <t>[Caja 44: "Negras Tormentas" y  "Diseño sin diseño"]</t>
  </si>
  <si>
    <t>Expedientes de producción y documentación de investigación para el documental "Negras Tormentas" y el libro "Diseño sin diseño"</t>
  </si>
  <si>
    <t>AUDIOVISUAL-C044-P001</t>
  </si>
  <si>
    <t>[Carpeta 1:  "Negras Tormentas" y  "Diseño  sin diseño" 1]</t>
  </si>
  <si>
    <t>Reúne los expedientes de producción audiovisual y editorial para la realización del documental cinematográfico "Negras Tormentas" y la edición de l libro "Diseño sin diseño". El conjunto contiene la memoria de propuesta de producción del documental, la transcripción de la entrevista a Noam Chomsky (10 de abril de 2009), correspondencia electrónica mantenida con colaboradores (entre ellos Koldo Artieda), artículos e impresos de prensa, reproducciones fotográficas a color y la carpeta de contabilidad rotulada "Cuentas segunda parte D y R"</t>
  </si>
  <si>
    <t>AUDIOVISUAL-C044-P002</t>
  </si>
  <si>
    <t>[Carpeta 2:  "Negras Tormentas" y  "Diseño sin diseño" 2]</t>
  </si>
  <si>
    <t>Reúne documentación de investigación, recopilación fotográfica y borradores de preproducción para el documental cinematográfico "Negras Tormentas" y el libro "Diseño sin diseño". El conjunto contiene borradores impresos con notas autógrafas, reportajes fotográficos a color de Rafael Zarza y Koldo Artieda, dossiers de prensa e impresos periodísticos, así como la carpeta de conservación rotulada "DSD 1. Archivo material iconográfico" con imágenes variadas sobre la Guerra Civil Española y el movimiento anarquista.</t>
  </si>
  <si>
    <t>AUDIOVISUAL-C045</t>
  </si>
  <si>
    <t>[Caja 45: Soportes digitales "Negras Tormentas"]</t>
  </si>
  <si>
    <t>Soportes digitales "Negras Tormentas"</t>
  </si>
  <si>
    <t>AUDIOVISUAL-C045-P001</t>
  </si>
  <si>
    <t>[Carpeta 1:  Soportes digitales "Negras Tormentas" 1]</t>
  </si>
  <si>
    <t>Colección de soportes digitales (CD-ROM y DVD) con rotulación manuscrita autógrafa en los soportes, comprensivos del archivo audiovisual de producción del documental cinematográfico "Negras Tormentas". El conjunto integra fuentes documentales digitales de investigación, maquetas de preproducción, secuencias de edición y versiones preliminares y avanzadas de montaje de la obra cinematográfica.</t>
  </si>
  <si>
    <t>AUDIOVISUAL-C046</t>
  </si>
  <si>
    <t>[Caja 46: Soportes digitales "Negras Tormentas"]</t>
  </si>
  <si>
    <t>AUDIOVISUAL-C046-P001</t>
  </si>
  <si>
    <t>AUDIOVISUAL-C047</t>
  </si>
  <si>
    <t>[Caja 47: "Negras Tormentas" y  "Diseño sin diseño"]</t>
  </si>
  <si>
    <t>Dossiers de preproducción e investigación iconográfica para el documental "Negras Tormentas" y la publicación "Diseños sin diseño"</t>
  </si>
  <si>
    <t>AUDIOVISUAL-C047-P001</t>
  </si>
  <si>
    <t>[Carpeta 1:  "Negras Tormentas" y  "Diseño sin diseño"]</t>
  </si>
  <si>
    <t>Carpeta en color negro (formato DIN A4) rotulada "Varios DSD" con material de investigación y preproducción para la monografía "Diseños sin diseño" y el documental cinematográfico "Negras Tormentas". El conjunto contiene borradores impresos de texto con anotaciones autógrafas, correspondencia electrónica impresa e impresiones digitales (a color y en blanco y negro) de hojas de contactos y miniaturas fotográficas acompañadas de leyendas descriptivas.</t>
  </si>
  <si>
    <t>AUDIOVISUAL-C047-P002</t>
  </si>
  <si>
    <t>[Carpeta 2:  "Negras Tormentas"]</t>
  </si>
  <si>
    <t>Dossier de investigación iconográfica y preproducción acumulado para la realización del documental cinematográfico "Negras Tormentas". Reúne una colección ordenada de imágenes fotográficas y reproducciones reprográficas a color provistas de titulaciones, desgloses descriptivos y anotaciones manuscritas autógrafas de Rafael Zarza sobre los soportes, así como borradores de guion y notas autógrafas de trabajo.</t>
  </si>
  <si>
    <t>EXPOSICIONES-C048</t>
  </si>
  <si>
    <t>[Caja 48: Diapositivas]</t>
  </si>
  <si>
    <t>1 caja de archivo definitivo (contiene 1 carpeta y 11 cajas de diapositivas).</t>
  </si>
  <si>
    <t>Colección de diapositivas fotográficas traspasadas a cajas de conservación. El fondo procedía originalmente de un álbum con la titulación manuscrita "Diapositivas Rafael Zarza. Stands exposiciones iluminación láser" que presentaba un estado de conservación deficiente por degradación química y física de su soporte inicial, habiéndose efectuado su reubicación e hito de conservación en unidades de almacenamiento etiquetadas secuencialmente con el fin de preservar la ordenación y la secuencia de procedencia del conjunto documental.</t>
  </si>
  <si>
    <t>EXPOSICIONES-C048-P001</t>
  </si>
  <si>
    <t>[Carpeta 1:  Diapositivas-Negativos gran formato]</t>
  </si>
  <si>
    <t>Colección de material gráfico fotográfico compuesta por diapositivas e inversivos transparentes de gran formato y negativos fotográficos sobre película transparente de medio y gran formato.</t>
  </si>
  <si>
    <t>EXPOSICIONES-C049</t>
  </si>
  <si>
    <t>[Caja 49: Proyecto Estandarte y otros documentos expositivos]</t>
  </si>
  <si>
    <t>Proyecto Estandarte y otros documentos expositivos</t>
  </si>
  <si>
    <t>EXPOSICIONES-C049-P001</t>
  </si>
  <si>
    <t>[Carpeta 1:  "Estandarte"]</t>
  </si>
  <si>
    <t>Expediente técnico y comercial de diseño museográfico reunido bajo la carpeta dossier impresa titulada "Estandarte. Exposiciones portátiles en régimen de alquiler". El conjunto integra el manual técnico de construcción y ensamblaje de módulos expositivos itinerantes en sistema estandarte, reportajes fotográficos originales (con tomas firmadas por el fotógrafo Ángel Urbina en Vitoria), copias reprográficas de instalaciones y documentación técnica de producción y montaje para exposiciones temporales. Incluye otros documentos.</t>
  </si>
  <si>
    <t>EXPOSICIONES-C049-P002</t>
  </si>
  <si>
    <t>[Carpeta 2:  Materiales exposición varios]</t>
  </si>
  <si>
    <t>El conjunto incluye la publicación medioambiental "450 hectáreas, una naturaleza excepcional, el porcal", la carpeta "Exposición vivienda siglo XXI. Ecología, tecnología y humanidad" con el dossier de currículo "Experiencia profesional Rafael Zarza Estandarte SL y Asociados" (julio de 2000), semblanza biográfica y recortes de prensa, así como el documento de depósito "Legado Zarza" ante la Fundación Ankaria (noviembre de 2004). Se completa con carpetas de trabajo con diapositivas de gran formato y reportajes fotográficos de piezas artísticas y del proyecto de interiorismo para la tienda de Ediciones Destino.</t>
  </si>
  <si>
    <t>EXPOSICIONES-C050</t>
  </si>
  <si>
    <t>[Caja 50: Expediente curricular y dossiers de proyectos expositivos de Rafael Zarza sobre Kindel, Lorca y Miguel Hernández]</t>
  </si>
  <si>
    <t>Expediente curricular y dossiers de proyectos expositivos de Rafael Zarza sobre Kindel, Lorca y Miguel Hernández</t>
  </si>
  <si>
    <t>EXPOSICIONES-C050-P001</t>
  </si>
  <si>
    <t>[Carpeta 1:  Cartas de aval y materiales de proyectos expositivos ]</t>
  </si>
  <si>
    <t>Carpeta de conservación en color negro (formato DIN A4) identificada con una fotografía a color, que reúne el expediente curricular, cartas de aval institucional y materiales de proyectos expositivos de Rafael Zarza (1981-2010). El conjunto contiene el dossier "Rafael Zarza. Exposiciones de 1981 a 1997", cartas de recomendación profesional de empresas y entidades culturales, el cuadernillo impreso "Federico García Lorca. Imágenes, palabras" y el dossier de interiorismo "Gran Vía. Hall de acceso". Se completa con soportes ópticos (CD-ROM) con archivos digitales de las exposiciones "Miguel Hernández (1910-2010) La sombra vencida", "El deseo y la realidad. Imágenes y palabras de los poetas del 27", "Racionalismo madrileño. Luis Lacasa (1920-1939)", "Galería Buades (30 años de arte contemporáneo y tantas cosas más)" y expedientes de trabajo sobre la muestra del fotógrafo Joaquín del Palacio (Kindel).</t>
  </si>
  <si>
    <t>EXPOSICIONES-C050-P002</t>
  </si>
  <si>
    <t>[Carpeta 2:  Folletos Kindel]</t>
  </si>
  <si>
    <t>Colección de folletos impresos titulados "Exposición Kindel: fotografía de arquitectura", de la exposición dedicada al fotógrafo Joaquín del Palacio (Kindel).</t>
  </si>
  <si>
    <t>EXPOSICIONES-C051</t>
  </si>
  <si>
    <t>[Caja 51: Proyectos expositivos de arquitectura sobre Jesús de la Sota y Gran Vía e investigaciones etnológicas de Antonio Pérez sobre el pueblo Yanomami]</t>
  </si>
  <si>
    <t>Proyectos expositivos de arquitectura sobre Jesús de la Sota y Gran Vía e investigaciones etnológicas de Antonio Pérez sobre el pueblo Yanomami</t>
  </si>
  <si>
    <t>EXPOSICIONES-C051-P001</t>
  </si>
  <si>
    <t>[Carpeta 1:  Material para exposiciones varias]</t>
  </si>
  <si>
    <t>El conjunto contiene la memoria descriptiva "Exposición vivienda siglo XXI. Ecología, tecnología y humanidad. Descripción de la propuesta. Rafael Zarza / Estandarte SL y Asociados", tres carpetas de trabajo para la exposición monográfica sobre el arquitecto Jesús de la Sota ("Jesús de la Sota 1924-1980" y "Jesús de la Sota", con reportajes fotográficos de arquitectura y diseño de mobiliario, un disquete 3,5" y cuatro CD-ROM), la carpeta "Gran Vía. Propuesta exposición centenario 1910-2010" y un collage original sobre cartón con la firma y fecha autógrafa de 2006.</t>
  </si>
  <si>
    <t>EXPOSICIONES-C051-P002</t>
  </si>
  <si>
    <t>[Carpeta 2:  Indígenas Yanomami, Antonio Pérez]</t>
  </si>
  <si>
    <t>Reúne documentación de investigación etnológica y de antropología social sobre la comunidad indígena Yanomami, elaborada por Antonio Pérez. El conjunto contiene dos carpetas de conservación con ensayos e informes impresos, copias reprográficas de manuscritos autógrafos originales con notas de trabajo, reproducciones fotográficas en blanco y negro e ilustraciones, acompañadas de una ampliación fotográfica exenta sobre soporte rígido de cartón pluma con el retrato de un habitante del pueblo Yanomami.</t>
  </si>
  <si>
    <t>AUDIOVISUAL-C052</t>
  </si>
  <si>
    <t>[Caja 52: "Scenario Gran Vía"]</t>
  </si>
  <si>
    <t>[ca. 2007]</t>
  </si>
  <si>
    <t xml:space="preserve">Reúne los expedientes de producción del documental audiovisual y del proyecto expositivo conmemorativo sobre la Gran Vía de Madrid </t>
  </si>
  <si>
    <t>AUDIOVISUAL-C052-P001</t>
  </si>
  <si>
    <t>[Carpeta 1:  "Scenario Gran Vía" 1]</t>
  </si>
  <si>
    <t>Reúne los expedientes de producción del documental audiovisual y del proyecto expositivo conmemorativo sobre la Gran Vía de Madrid . El conjunto incluye la carpeta de cartón "Scenario Gran Vía" con el soporte óptico (CD-ROM) del filme y sus memorias de preproducción, financieras y jurídicas, la carpeta "Documento 3 Scenario Gran Vía" con el guion cinematográfico, la carpeta manuscrita "GV Gran Vía final nico" con recopilaciones fotográficas y repertorios musicales, y el proyecto de exposición encuadernado en espiral metálica "Una propuesta de exposición centenario de la Gran Vía Madrid 1910-2010" comisariado por Daniel Zarza y Eduard Bakers (mayo de 2007), con borradores anotados autógrafamente a lápiz.</t>
  </si>
  <si>
    <t>AUDIOVISUAL-C053</t>
  </si>
  <si>
    <t>[Caja 53: "Scenario Gran Vía"]</t>
  </si>
  <si>
    <t>Reúne los expedientes de producción del documental audiovisual y del proyecto expositivo conmemorativo sobre la Gran Vía de Madrid .</t>
  </si>
  <si>
    <t>AUDIOVISUAL-C053-P001</t>
  </si>
  <si>
    <t>[Carpeta 1:  "Scenario Gran Vía" 2]</t>
  </si>
  <si>
    <t>Reúne proyectos de preproducción audiovisual, iniciativas escénicas y dossiers de comisariado expositivo para las conmemoraciones del centenario de la Gran Vía de Madrid (2006-2010). El conjunto comprende la memoria encuadernada en espiral metálica "Gran Vía 1906-2006. Avance proyecto de documental" (abril de 2006), las carpetas de trabajo "Documento 2. Scenario Gran Vía", "Documento 4. Scenario Gran Vía" y "Anexos. Scenario Gran Vía" (con guiones de locución, dramaturgias teatrales e impresos de correspondencia electrónica), la carpeta de propuesta expositiva "Gran Vía. Propuesta exposición centenario 1910-2010" y el proyecto del espectáculo musical "Madrid late a 100. Un siglo de historias y músicas en la Gran Vía de Madrid", con argumento original de Rafael Zarza.</t>
  </si>
  <si>
    <t>EXPOSICIONES-C054</t>
  </si>
  <si>
    <t>[Caja 54: Proyectos expositivos]</t>
  </si>
  <si>
    <t xml:space="preserve"> [ca. 2000-2010]</t>
  </si>
  <si>
    <t>Proyectos expositivos, propuestas multimedia e intervenciones comisariales de Rafael Zarza sobre arquitectura, ciencia y arte contemporáneo</t>
  </si>
  <si>
    <t>EXPOSICIONES-C054-P001</t>
  </si>
  <si>
    <t>[Carpeta 1:  "La danza de las horas. Propuesta de montaje multimedia. Encuentro con Velázquez" y otros]</t>
  </si>
  <si>
    <t>Reúne expedientes comisariales, memorias de producción audiovisual y proyectos de montaje multimedia presentados por Rafael Zarza y equipos colaboradores. El conjunto contiene dos carpetas de conservación con la memoria técnica para el audiovisual interactivo "La danza de las horas. Propuesta de montaje multimedia. Encuentro con Velázquez", dos ejemplares del proyecto encuadernado en espiral "Los miedos del milenio. Cinco siglos de medicina en España. Propuesta de exposición" (N&amp;B and Associates SL), la carpeta de propuesta para la Consejería de Cultura de la Comunidad de Madrid "A través del itinerario de una galería. Décadas de arte en Madrid" (coordinada por Patricio Bulnes y Rafael Zarza) y dos copias de la sinopsis cinematográfica "Esta maldita guerra. Realidad y representación frente a frente", formulada por Fernando G. Canales, Javier Roca y Rafael Zarza.</t>
  </si>
  <si>
    <t>EXPOSICIONES-C054-P002</t>
  </si>
  <si>
    <t>[Carpeta 1:  "Candeira"  y otros]</t>
  </si>
  <si>
    <t>El conjunto contiene la carpeta "Candeira" sobre la muestra del arquitecto José López Candeira (enero de 2000) con bocetos y notas autógrafas, avances presupuestarios no identificados y los expedientes comisariales para La Casa Encendida de "El cuerpo fotónico. Photonic body" (julio de 2004) de Vicente Carretón Cano (con diseño de Rafael Zarza), incluyendo carpetas de catálogo con relaciones de piezas artísticas e impresiones a color, correspondencia electrónica y el dossier "Holografía" con el currículo del autor. Se completa con los borradores "Arquifoto" y la carpeta de proyectos para el Pabellón de España en la Exposición Universal de Shanghái 2010.</t>
  </si>
  <si>
    <t>PUBLICACIONES-C055</t>
  </si>
  <si>
    <t>[Caja 55: "La Infiltarcion" y "La Gaceta Literaria"]</t>
  </si>
  <si>
    <t>1 carpeta de gran formato (contiene 2 carpetas de conservación).</t>
  </si>
  <si>
    <t>"La Infiltarcion" y "La Gaceta Literaria"</t>
  </si>
  <si>
    <t>PUBLICACIONES-C055-P001</t>
  </si>
  <si>
    <t>[Carpeta 1:  "La Infiltarcion"]</t>
  </si>
  <si>
    <t>Dos ejemplares impresos originales de la publicación seriada "La Infiltración", correspondientes a sus dos primeras entregas: el número 1 (editado en mayo de 2005) y el número 2 (editado en el otoño de 2005). Las unidades presentan un óptimo estado de conservación físico de los soportes.</t>
  </si>
  <si>
    <t>PUBLICACIONES-C055-P002</t>
  </si>
  <si>
    <t>[Carpeta 1:  "La Gaceta Literaria"]</t>
  </si>
  <si>
    <t>Tomo encuadernado de conservación comprensivo de la colección completa de ejemplares originales de la publicación seriada periódica "La Gaceta Literaria", correspondiente a la secuencia continuada del número 25 al número 44.</t>
  </si>
  <si>
    <t>AUDIOVISUAL-C056</t>
  </si>
  <si>
    <t>[Caja 56: "Scenario: Gran Vía"]</t>
  </si>
  <si>
    <t>Material preparatorio de "Scenario: Gran Vía"</t>
  </si>
  <si>
    <t>AUDIOVISUAL-C056-P001</t>
  </si>
  <si>
    <t>[Carpeta 1:  "Scenario: Gran Vía", fotografías y prensa]</t>
  </si>
  <si>
    <t>Reúne un sobre de conservación (formato DIN A4) rotulado "Rafael Zarza Flamenco Films" comprensivo de un reportaje de fotografías originales en blanco y negro de gran formato sobre la urbanización y edificios de la Gran Vía madrileña (con tomas del fotógrafo Daniel Alonso en mayo de 1998 y códigos alfanuméricos de clasificación anotados autógrafamente en los reversos), acompañado de un dossier de prensa periódica histórica y de ocho ejemplares impresos originales de la publicación seriada "La Codorniz".</t>
  </si>
  <si>
    <t>AUDIOVISUAL-C057</t>
  </si>
  <si>
    <t>[Caja 57: Documental "Alberto. Imágenes y palabras"]</t>
  </si>
  <si>
    <t>Documental "Alberto. Imágenes y palabras"</t>
  </si>
  <si>
    <t>AUDIOVISUAL-C057-P001</t>
  </si>
  <si>
    <t>[Carpeta 1:  Documental "Alberto. Imágenes y palabras"]</t>
  </si>
  <si>
    <t>Reúne fondos documentales, audiovisuales y sonoros de investigación acumulados para el proyecto documental sobre el escultor Alberto Sánchez (1983-2010). El conjunto contiene la correspondencia electrónica impresa (2010) sobre el guion del documental "Alberto. Imágenes y palabras", la transcripción impresa de la entrevista "Conversación con Enrique Segarra Tomás" (junio de 1983), una colección de soportes ópticos (CD-ROM) con rotulación manuscrita, casetes de sonido en cinta magnética, cintas de vídeo de pequeño formato (MiniDV), una bobina cinematográfica en su caja protectora rotulada "Alberto. Original. Mono." y soportes magnéticos (disquetes 3,5").</t>
  </si>
  <si>
    <t>PERSONAL-C058</t>
  </si>
  <si>
    <t>[Caja 58: Documental  Dossier de prensa Zarza]</t>
  </si>
  <si>
    <t>Dossier de prensa Zarza</t>
  </si>
  <si>
    <t>PERSONAL-C058-P001</t>
  </si>
  <si>
    <t>[Carpeta 1:  Dossier de prensa Zarza]</t>
  </si>
  <si>
    <t>Reúne el dossier de prensa, difusión y proyección mediática de las actividades culturales de Rafael Zarza. El conjunto comprende una carpeta de conservación en color negro con ejemplares de prensa impresa originales y copias reprográficas, tarjetas de invitación a actos expositivos, catálogos de mano de muestras temporales y reportajes fotográficos. Se completa con un soporte óptico de audio (CD-ROM) rotulado manualmente : "A vivir que son dos días" (Cadena SER, 2 de enero de 2010).</t>
  </si>
  <si>
    <t>MILITANCIA-C059</t>
  </si>
  <si>
    <t>[Caja 59: Movimientos vanguardistas, historia política e ideologías ibéricas e iberoamericanas]</t>
  </si>
  <si>
    <t xml:space="preserve">Movimientos vanguardistas, historia política e ideologías ibéricas e iberoamericanas. </t>
  </si>
  <si>
    <t>MILITANCIA-C059-P001</t>
  </si>
  <si>
    <t>[Carpeta 1:  Movimientos vanguardistas, historia política e ideologías ibéricas e iberoamericanas]</t>
  </si>
  <si>
    <t>Agrupación de dossiers de investigación y documentación de estudio sobre movimientos vanguardistas, historia política e ideologías ibéricas e iberoamericanas. El conjunto reúne copias reprográficas de publicaciones monográficas (destacando la publicación "El matrimonio opereta" de Witold Gombrowicz y carpetas archivadoras de plástico con fuentes textuales y recortes de prensa originales tituladas "Portugal futurista", "Brasil", "Rebeldías o futuro" y "O integralismo lusitano e o Estado Novo", así como borradores e impresos de trabajo en hojas grapadas.</t>
  </si>
  <si>
    <t>MILITANCIA-C060</t>
  </si>
  <si>
    <t>[Caja 60: Agrupación de dossiers de investigación sobre vanguardias artísticas, filosofía libertaria y dramaturgia teatral]</t>
  </si>
  <si>
    <t xml:space="preserve">Agrupación de dossiers de investigación sobre vanguardias artísticas, filosofía libertaria y dramaturgia teatral. </t>
  </si>
  <si>
    <t>MILITANCIA-C060-P001</t>
  </si>
  <si>
    <t>[Carpeta 1:  Agrupación de dossiers de investigación sobre vanguardias artísticas, filosofía libertaria y dramaturgia teatral]</t>
  </si>
  <si>
    <t>Agrupación de dossiers de investigación sobre vanguardias artísticas, filosofía libertaria y dramaturgia teatral. El conjunto contiene el volumen encuadernado en canutillo de plástico "El teatro de la muerte", la carpeta rotulada "Surrealismo Portugal" (con reproducciones de revistas y ensayos), una carpeta de publicaciones grapadas sobre futurismo y sociopolítica portuguesa, una funda de plástico con la copia reprográfica de la monografía "El único y su propiedad" de Max Stirner y un dossier encuadernado en espiral metálica comprensivo de estudios teóricos sobre las vanguardias pictóricas (fauvismo, expresionismo, cubismo y purismo, etc.).</t>
  </si>
  <si>
    <t>MILITANCIA-C061</t>
  </si>
  <si>
    <t>[Caja 61: Sociopolítica, historia del movimiento socialista en Portugal]</t>
  </si>
  <si>
    <t xml:space="preserve">Sociopolítica, historia del movimiento socialista en Portugal </t>
  </si>
  <si>
    <t>MILITANCIA-C061-P001</t>
  </si>
  <si>
    <t>[Carpeta 1:  Sociopolítica, historia del movimiento socialista en Portugal]</t>
  </si>
  <si>
    <t>Reúne dossiers de investigación y documentación de trabajo sobre sociopolítica, historia del movimiento socialista en Portugal y estudios de simbolismo y filosofía. El conjunto contiene copias reprográficas en blanco y negro con anotaciones manuscritas autógrafas, ejemplares de revistas de prensa y una carpeta de conservación en color blanco con impresos y ensayos ensayísticos titulados "Lenguaje secreto 3" y "La piedra filosofal" y otros documentos.</t>
  </si>
  <si>
    <t>MILITANCIA-C062</t>
  </si>
  <si>
    <t>[Caja 62: Movimiento obrero, el pensamiento político y la literatura en Portugal]</t>
  </si>
  <si>
    <t xml:space="preserve">Reúne dossiers de investigación y documentación de fuentes históricas sobre el movimiento obrero, el pensamiento político y la literatura en Portugal. </t>
  </si>
  <si>
    <t>MILITANCIA-C062-P001</t>
  </si>
  <si>
    <t>[Carpeta 1:  Movimiento obrero, el pensamiento político y la literatura en Portugal]</t>
  </si>
  <si>
    <t>Reúne dossiers de investigación y documentación de fuentes históricas sobre el movimiento obrero, el pensamiento político y la literatura en Portugal. El conjunto contiene fotocopia de  "Carlos da Fonseca. A I Internacional em Lisboa", la carpeta roja rotulada "Movimiento obrero portugués. Primera Internacional", la carpeta azul "Raúl Leal", la carpeta doble en color azul con un ejemplar de la revista mensual "Exilio" (sumario del número 1) anotado autógrafamente por Rafael Zarza, así como carpetas y fundas de plástico con copias reprográficas de impresos en lengua portuguesa.</t>
  </si>
  <si>
    <t>EXPOSICIONES-C063</t>
  </si>
  <si>
    <t>[Caja 63: Carteles promocionales impresos a dos tintas (rojo y negro) para la difusión de la inauguración del "Primer Salón Refractario"]</t>
  </si>
  <si>
    <t>[ca. 1998]</t>
  </si>
  <si>
    <t>Carteles promocionales impresos a dos tintas (rojo y negro) para la difusión de la inauguración del "Primer Salón Refractario"</t>
  </si>
  <si>
    <t>EXPOSICIONES-C063-P001</t>
  </si>
  <si>
    <t>[Carpeta 1:  Carteles promocionales impresos a dos tintas (rojo y negro) para la difusión de la inauguración del "Primer Salón Refractario"]</t>
  </si>
  <si>
    <t>Conjunto de carteles promocionales impresos a dos tintas (rojo y negro) para la difusión de la inauguración del "Primer Salón Refractario" (celebrada en Madrid el 3 de enero de 1998 en la Taberna Don Pedro). El impreso integra en su diseño gráfico una ilustración central que representa una figura humana atravesando una ventana, dispuesta junto a la relación nominal de autores participantes y los datos de convocatoria del evento.</t>
  </si>
  <si>
    <t>AUDIOVISUAL-C064</t>
  </si>
  <si>
    <t>[Caja 64: Cajas de diapositivas originalmente etiquetadas en archivador original de cartón como "ECOLOGÍA"]</t>
  </si>
  <si>
    <t>1 caja de archivo definitivo (contiene muchas cajas de diapositivas).</t>
  </si>
  <si>
    <t>Colección de diapositivas fotográficas albergadas en sus cajas de conservación originales de procedencia. El fondo pertenecía a la serie documental titulado "Ecología", cuyo contenedor exterior presentaba un estado de conservación deficiente por degradación física de los materiales y ha sido destruido, conservándose las unidades en sus estuches individuales de origen.</t>
  </si>
  <si>
    <t>AUDIOVISUAL-C065</t>
  </si>
  <si>
    <t>[Caja 65: Cajas de diapositivas originalmente etiquetadas en archivador original de cartón como "Diversas Canal Castilla. Historia Madrid Antigua"]</t>
  </si>
  <si>
    <t>Colección de diapositivas fotográficas albergadas en sus cajas de conservación originales de procedencia. El fondo pertenecía a la serie documental titulado "Diversas Canal Castilla. Historia Madrid Antiguas", cuyo contenedor exterior presentaba un estado de conservación deficiente por degradación física de los materiales y ha sido destruido, conservándose las unidades en sus estuches individuales de origen.</t>
  </si>
  <si>
    <t>ARQUITECTURA-C066</t>
  </si>
  <si>
    <t>[Caja 66: Cajas de diapositivas originalmente etiquetadas en archivador original de cartón como "GOMEZ DE MORA"]</t>
  </si>
  <si>
    <t>Colección de diapositivas fotográficas albergadas en sus cajas y carpetas de conservación originales de procedencia. El fondo pertenecía a la serie documental titulado "GOMEZ DE MORA", cuyo contenedor exterior presentaba un estado de conservación deficiente por degradación física de los materiales y ha sido destruido, conservándose las unidades en sus estuches individuales de origen.</t>
  </si>
  <si>
    <t>AUDIOVISUAL-C067</t>
  </si>
  <si>
    <t>[Caja 67: Cajas de diapositivas originalmente etiquetadas en archivador original de cartón como "IBM INSA"]</t>
  </si>
  <si>
    <t>Colección de diapositivas fotográficas albergadas en sus cajas de conservación originales de procedencia. El fondo pertenecía a la serie documental titulado "IBM INSA", cuyo contenedor exterior presentaba un estado de conservación deficiente por degradación física de los materiales y ha sido destruido, conservándose las unidades en sus estuches individuales de origen.</t>
  </si>
  <si>
    <t>AUDIOVISUAL-C068</t>
  </si>
  <si>
    <t>[Caja 68: Cajas de diapositivas originalmente etiquetadas en 2 archivadores originales de cartón como "DIAPOS " y "MADRID NIÑOS"]</t>
  </si>
  <si>
    <t>1 caja de archivo definitivo (contiene muchas cajas de diapositivas) y una carpeta de conservación.</t>
  </si>
  <si>
    <t>Colección de diapositivas fotográficas albergadas en nuevas cajas de conservación. El fondo pertenecía a la serie documental titulado "MADRID NIÑOS", cuyo contenedor exterior presentaba un estado de conservación deficiente por degradación física de los materiales y ha sido destruido, conservándose las unidades en sus estuches individuales de origen.</t>
  </si>
  <si>
    <t>AUDIOVISUAL-C068-P001</t>
  </si>
  <si>
    <t>[Carpeta 1:   proyecto audiovisual divulgativo "Madrid para los niños"]</t>
  </si>
  <si>
    <t>Reúne el expediente de producción técnica y guionaje del proyecto audiovisual divulgativo "Madrid para los niños", concebido por Rafael Zarza. El conjunto contiene el borrador encuadernado en espiral de plástico (canutillo) "Guion audiovisual 1. Madrid ayer y hoy. Su desarrollo histórico", acompañado de tres dossiers de trabajo: "Madrid para los niños. Guion audiovisual. Imágenes", con la selección de secuencias fotográficas e impresos explicativos de la producción.</t>
  </si>
  <si>
    <t>AUDIOVISUAL-C069</t>
  </si>
  <si>
    <t>[Caja 69: Cajas de diapositivas]</t>
  </si>
  <si>
    <t>Colección de diapositivas fotográficas albergadas en sus cajas de conservación originales de procedencia. El contenedor exterior presentaba un estado de conservación deficiente por degradación física de los materiales y ha sido destruido, conservándose las unidades en sus estuches individuales de origen.</t>
  </si>
  <si>
    <t>AUDIOVISUAL-C070</t>
  </si>
  <si>
    <t>[Caja 70: Cajas de diapositivas]</t>
  </si>
  <si>
    <t>AUDIOVISUAL-C071</t>
  </si>
  <si>
    <t>[Caja 71: Cajas de diapositivas]</t>
  </si>
  <si>
    <t>1 caja de archivo definitivo (contiene disquetes y 3 cintas de video VHS).</t>
  </si>
  <si>
    <t>Unidad documental integrada por una gran cantidad de disquetes magnéticos y tres cintas de vídeo VHS con las inscripciones literales "flamenco tercer pedido", "flamenco tercer pedido" y "flamenco cuarto pedido".</t>
  </si>
  <si>
    <t>AUDIOVISUAL-C072</t>
  </si>
  <si>
    <t>[Caja 72: "Scenario Gran Vía": Soportes digitales 1]</t>
  </si>
  <si>
    <t>1 caja de archivo definitivo (contiene CDs, DVDs y otros formatos digitales).</t>
  </si>
  <si>
    <t>Unidad documental integrada por una gran cantidad de soportes ópticos (CD y DVD) y otros formatos digitales de vídeo multimedia relacionados con el proyecto "Scenario Gran Vía".</t>
  </si>
  <si>
    <t>AUDIOVISUAL-C073</t>
  </si>
  <si>
    <t>[Caja 73: "Scenario Gran Vía": Soportes digitales 2]</t>
  </si>
  <si>
    <t>AUDIOVISUAL-C074</t>
  </si>
  <si>
    <t>[Caja 74: "Scenario Gran Vía": Soportes digitales 3 y otros CDs]</t>
  </si>
  <si>
    <t>Unidad documental integrada por una gran cantidad de soportes ópticos (CD y DVD) y otros formatos digitales de vídeo multimedia relacionados con el proyecto "Scenario Gran Vía". CDs de temas variados que incluyen las inscripciones literales "Zero, Marcel Darman", "El perro" y "Logos últimos".</t>
  </si>
  <si>
    <t>AUDIOVISUAL-C075</t>
  </si>
  <si>
    <t>[Caja 75: "Carousel Kodak de diapositivas 1]</t>
  </si>
  <si>
    <t>1 caja orginal Kodak (contiene carrusel de diapositivas).</t>
  </si>
  <si>
    <t>AUDIOVISUAL-C076</t>
  </si>
  <si>
    <t>[Caja 76: "Carousel Kodak de diapositivas 2]</t>
  </si>
  <si>
    <t>AUDIOVISUAL-C077</t>
  </si>
  <si>
    <t>[Caja 77: "Carousel Kodak de diapositivas 3]</t>
  </si>
  <si>
    <t>AUDIOVISUAL-C078</t>
  </si>
  <si>
    <t>[Caja 78: "Carousel Kodak de diapositivas 4]</t>
  </si>
  <si>
    <t>AUDIOVISUAL-C079</t>
  </si>
  <si>
    <t>[Caja 79: "Carousel Kodak de diapositivas 5]</t>
  </si>
  <si>
    <t>AUDIOVISUAL-C080</t>
  </si>
  <si>
    <t>[Caja 80 "Carousel Kodak de diapositivas 6]</t>
  </si>
  <si>
    <t>AUDIOVISUAL-C081</t>
  </si>
  <si>
    <t>[Caja 81: "Carousel Kodak de diapositivas 7]</t>
  </si>
  <si>
    <t>ARQUITECTURA-C082</t>
  </si>
  <si>
    <t>[Caja 82: Planos de arquitectura y preparacion de exposiciones]</t>
  </si>
  <si>
    <t>1 carpeta de gran formato</t>
  </si>
  <si>
    <t>Unidad documental compuesta integrada por una carpeta de formato DIN A3 (de color azul con rotulación manuscrita "Z R Z Cuca") que contienen planos arquitectónicos y diversas agrupaciones documentales. Entre los materiales se incluyen impresiones a color de formato DIN A3 etiquetadas "Cuca", documentación textual impresa y fotocopias en blanco y negro en formato DIN A3, así como agrupaciones documentales tituladas "Pérgola exposición C G L".</t>
  </si>
  <si>
    <t>ARQUITECTURA-C083</t>
  </si>
  <si>
    <t>[Caja 83: Dossier de documentación textual, gráfica y bibliográfica sobre proyectos de urbanismo, escenografía y ordenación residencial]</t>
  </si>
  <si>
    <t>Dossier de documentación textual, gráfica y bibliográfica sobre proyectos de urbanismo, escenografía y ordenación residencial</t>
  </si>
  <si>
    <t>ARQUITECTURA-C083-P001</t>
  </si>
  <si>
    <t>[Carpeta 1:   Arquitectura y urbanismo]</t>
  </si>
  <si>
    <t>Unidad documental compuesta que reúne fotocopias de una monografía en idioma alemán especializada en arquitectura y urbanismo, una carpeta de clasificación con documentación rotulada "Concurso Infantil de Dibujo y Pintura, Colegio Oficial de Arquitectos de Madrid, 1977" y un documento textual impreso en formato DIN A4 grapado titulado "Campaña de información/participación sobre el avance del Plan General de Ordenación Urbana del municipio de Madrid, 15 de febrero 1982".</t>
  </si>
  <si>
    <t>ARQUITECTURA-C083-P002</t>
  </si>
  <si>
    <t>[Carpeta 2:   Arquitectura y urbanismo]</t>
  </si>
  <si>
    <t xml:space="preserve">Unidad documental compuesta integrada por diversa documentación textual, gráfica y bibliográfica sobre urbanismo y escenografía. Incluye documentación impresa en formato DIN A4 en idioma italiano relativa al urbanismo alternativo, fotocopias grapadas en inglés sobre la ordenación urbana de Londres (entre las que figura el trabajo titulado "Who cares for London") y un documento en idioma catalán referido al urbanismo en Cataluña. Asimismo, contiene una carpeta azul con bocetos originales a mano, negativos fotográficos, publicaciones de "Borden" y una carpeta de formato DIN A3 titulada "Propuesta ordenación conjunto residencial de 30 viviendas Villa Quilambre-León", la cual reúne recortes de prensa impresos, notas manuscritas y materiales de trabajo.
</t>
  </si>
  <si>
    <t>AUDIOVISUAL-C084</t>
  </si>
  <si>
    <t>[Caja 84: Documentación para proyecto "Scenario Gran Vía"]</t>
  </si>
  <si>
    <t>Documentación para proyecto "Scenario Gran Vía</t>
  </si>
  <si>
    <t>AUDIOVISUAL-C084-P001</t>
  </si>
  <si>
    <t>[Carpeta 1:  Documentación para proyecto "Scenario Gran Vía"]</t>
  </si>
  <si>
    <t>Unidad documental compuesta integrada por abundante material preparatorio para el proyecto audiovisual "Scenario Gran Vía". El conjunto se organiza en fundas plásticas de clasificación que albergan impresiones en blanco y negro de imágenes acompañadas de discos compactos (CD) con la correspondiente digitalización de las mismas, así como diversa documentación textual y materiales de trabajo vinculados a la producción de dicho proyecto.</t>
  </si>
  <si>
    <t>AUDIOVISUAL-C085</t>
  </si>
  <si>
    <t>[Caja 85: Cajas de diapositivas]</t>
  </si>
  <si>
    <t>Colección de diapositivas fotográficas albergadas en sus cajas de conservación originales de procedencia así como diapositivas agrupadas en nuevas cajas de conservacion. El contenedor exterior presentaba un estado de conservación deficiente por degradación física de los materiales y ha sido destruido.</t>
  </si>
  <si>
    <t>AUDIOVISUAL-C086</t>
  </si>
  <si>
    <t>[Caja 86: Cajas de diapositivas]</t>
  </si>
  <si>
    <t>Colección de diapositivas fotográficas albergadas en sus cajas de conservación originales de procedencia. El contenedor exterior presentaba un estado de conservación deficiente por degradación física de los materiales y ha sido destruido.</t>
  </si>
  <si>
    <t>AUDIOVISUAL-C087</t>
  </si>
  <si>
    <t>[Caja 87: Cajas de diapositivas]</t>
  </si>
  <si>
    <t>Colección de diapositivas fotográficas albergadas en sus cajas de conservación originales de procedencia así como diapositivas agrupadas en nuevas cajas de conservacion. El contenedor exterior, rotulado como "1 MADRID GENERAL", presentaba un estado de conservación deficiente por degradación física de los materiales y ha sido destruido.</t>
  </si>
  <si>
    <t>AUDIOVISUAL-C088</t>
  </si>
  <si>
    <t>[Caja 88: Cajas de diapositivas]</t>
  </si>
  <si>
    <t>Colección de diapositivas fotográficas albergadas en sus cajas de conservación originales de procedencia. El contenedor exterior, rotulado como "2 MADRID GENERAL", presentaba un estado de conservación deficiente por degradación física de los materiales y ha sido destruido.</t>
  </si>
  <si>
    <t>AUDIOVISUAL-C089</t>
  </si>
  <si>
    <t>[Caja 89: Cajas de diapositivas]</t>
  </si>
  <si>
    <t>1 caja de archivo definitivo (contiene muchas cajas de diapositivas y un sobre con negativos fotográficos).</t>
  </si>
  <si>
    <t>Colección de diapositivas fotográficas albergadas en sus cajas de conservación originales de procedencia así como diapositivas agrupadas en nuevas cajas de conservacion. El contenedor exterior, rotulado como "MADRID DIAPOSITIVAS ARQUITECTURA URBANISMO", presentaba un estado de conservación deficiente por degradación física de los materiales y ha sido destruido. Incluye sobre con negativos: "RESTOS TETUAN"</t>
  </si>
  <si>
    <t>AUDIOVISUAL-C090</t>
  </si>
  <si>
    <t>[Caja 90: Cajas de diapositivas]</t>
  </si>
  <si>
    <t>Colección de diapositivas fotográficas albergadas en sus cajas de conservación originales de procedencia así como diapositivas agrupadas en nuevas cajas de conservacion. El contenedor exterior, rotulado como "ARQUIT. VILLANUEVA VENTURARD", presentaba un estado de conservación deficiente por degradación física de los materiales y ha sido destruido.</t>
  </si>
  <si>
    <t>AUDIOVISUAL-C091</t>
  </si>
  <si>
    <t>[Caja 91: Cajas de diapositivas]</t>
  </si>
  <si>
    <t>AUDIOVISUAL-C092</t>
  </si>
  <si>
    <t>[Caja 92: Cajas con negativos y diapositivas]</t>
  </si>
  <si>
    <t>1 caja de archivo definitivo (Varios sobre y una caja con negarivos y diapositivas).</t>
  </si>
  <si>
    <t xml:space="preserve">Unidad documental compuesta integrada por un abundante conjunto de material fotográfico comprensivo de negativos de película fotográfica y diapositivas. Se conservan los contenedores y unidades de instalación originales con rotulación manuscrita caligráfica para mantener la estructura y ordenación del fondo, entre los que figuran una caja de conservación titulada "Preselección Kindle Arquitectura" y dos sobres de clasificación con las titulaciones "Diapos agua" y "Albarracín".
</t>
  </si>
  <si>
    <t>AUDIOVISUAL-C093</t>
  </si>
  <si>
    <t>[Caja 93: Dossier de materiales de trabajo, reprografías y prensa para el proyecto documental "Scenario Gran Vía"</t>
  </si>
  <si>
    <t>Dossier de materiales de trabajo, reprografías y prensa para el proyecto documental "Scenario Gran Vía"</t>
  </si>
  <si>
    <t>AUDIOVISUAL-C093-P001</t>
  </si>
  <si>
    <t>[Carpeta 1:   Materiales preparatorios para el proyecto documental "Scenario Gran Vía" 1]</t>
  </si>
  <si>
    <t>Unidad documental compuesta integrada por un amplio conjunto de materiales preparatorios para el proyecto documental "Scenario Gran Vía". El fondo reúne soportes fotográficos y audiovisuales —tales como negativos de gran formato, discos compactos (CD) (destacando uno rotulado "català roca archivo definitivo"), impresiones fotográficas en blanco y negro, hojas de contactos reprografiadas y una carpeta de clasificación con fotografías históricas etiquetada "regalo a Telefónica"— junto a carpetas con documentación reprografiada, recortes de prensa impresa y láminas de trabajo con imágenes adheridas que incorporan anotaciones autógrafas de Rafael Zafra y notas adhesivas manuscritas.</t>
  </si>
  <si>
    <t>AUDIOVISUAL-C093-P002</t>
  </si>
  <si>
    <t>[Carpeta 1:   Materiales preparatorios para el proyecto documental "Scenario Gran Vía" 2]</t>
  </si>
  <si>
    <t>Unidad documental compuesta integrada por materiales preparatorios para el proyecto documental "Scenario Gran Vía". El conjunto reúne diversas fundas de clasificación que contienen reprografías de imágenes y fotografías en blanco y negro junto a discos compactos (CD), una carpeta comprensiva de reprografías de la publicación "Blanco y Negro", páginas de prensa impresa y soportes ópticos (CD) de trabajo.</t>
  </si>
  <si>
    <t>ARQUITECTURA-C094</t>
  </si>
  <si>
    <t>[Caja 94: Dossier de contactos fotográficos sobre la ordenación y estudio urbano de los distritos y barrios de Madrid</t>
  </si>
  <si>
    <t>Dossier de contactos fotográficos sobre la ordenación y estudio urbano de los distritos y barrios de Madrid</t>
  </si>
  <si>
    <t>ARQUITECTURA-C094-P001</t>
  </si>
  <si>
    <t>[Carpeta 1:  Dossier de contactos fotográficos sobre la ordenación y estudio urbano de los distritos y barrios de Madrid 1]</t>
  </si>
  <si>
    <t>Unidad documental compuesta integrada por un abundante conjunto de material gráfico compuesto por hojas de contactos fotográficos en blanco y negro y reprografías de las mismas, referente a la documentación urbana de varios barrios del municipio de Madrid. Se identifican, entre otras agrupaciones, una carpeta de clasificación titulada "M30 sector norte" y una carpeta que conserva una tarjeta identificativa rotulada "Hortaleza AV5".</t>
  </si>
  <si>
    <t>ARQUITECTURA-C094-P002</t>
  </si>
  <si>
    <t>[Carpeta 1:   Dossier de contactos fotográficos sobre la ordenación y estudio urbano de los distritos y barrios de Madrid 2]</t>
  </si>
  <si>
    <t>Unidad documental compuesta integrada por carpetas de cartulina en formato DIN A4 que contienen un abundante conjunto de hojas de contactos fotográficos. La serie se encuentra organizada por barrios y áreas urbanas, conservando las carpetas sus titulaciones originales: "Oficina Municipal del Plan", "Salamanca", "Tetuán", "Multivisión Expo Avance" (con rotulación manuscrita) y "Madrid Barrio del Pilar".</t>
  </si>
  <si>
    <t>ARQUITECTURA-C095</t>
  </si>
  <si>
    <t>[Caja 95: Materiales preparatorios y de diseño para un proyecto arquitectónico destinado a una agencia de viajes.]</t>
  </si>
  <si>
    <t xml:space="preserve">Materiales preparatorios y de diseño para un proyecto arquitectónico destinado a una agencia de viajes. </t>
  </si>
  <si>
    <t>ARQUITECTURA-C095-P001</t>
  </si>
  <si>
    <t>[Carpeta 1:  Materiales preparatorios y de diseño para un proyecto arquitectónico destinado a una agencia de viajes. 1]</t>
  </si>
  <si>
    <t>Unidad documental aparentemente integrada por materiales preparatorios y de diseño para un proyecto arquitectónico destinado a una agencia de viajes. El conjunto reúne planos arquitectónicos de ejecución, memorias de sistemas constructivos y materiales de trabajo para la elaboración de la maqueta de una aeronave, así como diversos sobres de clasificación con titulaciones autógrafas, figurando entre ellos uno con la denominación "Agencia Futuro".</t>
  </si>
  <si>
    <t>ARQUITECTURA-C095-P002</t>
  </si>
  <si>
    <t>[Carpeta 1:   Materiales preparatorios y de diseño para un proyecto arquitectónico destinado a una agencia de viajes. 2]</t>
  </si>
  <si>
    <t>AUDIOVISUAL-C096</t>
  </si>
  <si>
    <t>[Caja 96: "El Ojo Móvil" y acetatos en mal estado de conservacion]</t>
  </si>
  <si>
    <t>"El Ojo Móvil" y acetatos en mal estado de conservacion</t>
  </si>
  <si>
    <t>AUDIOVISUAL-C096-P001</t>
  </si>
  <si>
    <t>[Carpeta 1:  Dossier de documentación sobre la campaña escolar de información urbanística "El Ojo Móvil" y proyectos de comunicación audiovisual comunitaria]</t>
  </si>
  <si>
    <t>Unidad documental compuesta integrada por la documentación del proyecto de campaña escolar de información urbanística "El Ojo Móvil". El conjunto reúne materiales preparatorios de trabajo, notas autógrafas, reprografías, recortes de prensa impresa, imágenes fotográficas y documentos impresos y mecanografiados con anotaciones manuscritas. Asimismo, incluye una carpeta de clasificación titulada "BECA CINE, proyecto de comunicación comunitaria por un uso social de los medios audiovisuales, propuesta Ojo Móvil, 1978" y una carpeta con la denominación "Audiovisual Barrio del Pilar".</t>
  </si>
  <si>
    <t>AUDIOVISUAL-C096-P002</t>
  </si>
  <si>
    <t>[Carpeta 1:   Dossier de transparencias en acetato y publicaciones técnicas sobre equipamiento para proyecciones y espectáculos audiovisuales]</t>
  </si>
  <si>
    <t>Unidad documental compuesta integrada por un abundante conjunto de transparencias en acetato de formato DIN A4 impresas en blanco y negro, destinadas a la preparación y proyección de espectáculos audiovisuales, junto con diversas publicaciones técnicas sobre equipamiento y materiales para eventos. Los soportes plásticos en acetato presentan un estado de conservación deficiente.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</si>
</sst>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 de &quot;mmmm&quot; de &quot;yyyy"/>
  </numFmts>
  <fonts count="13">
    <font>
      <sz val="11.0"/>
      <color theme="1"/>
      <name val="Calibri"/>
      <scheme val="minor"/>
    </font>
    <font>
      <b/>
      <sz val="11.0"/>
      <color rgb="FFFFFFFF"/>
      <name val="Calibri"/>
    </font>
    <font>
      <b/>
      <sz val="11.0"/>
      <color rgb="FF1B365D"/>
      <name val="Calibri"/>
    </font>
    <font>
      <i/>
      <sz val="11.0"/>
      <color rgb="FF555555"/>
      <name val="Calibri"/>
    </font>
    <font>
      <sz val="11.0"/>
      <color theme="1"/>
      <name val="Calibri"/>
    </font>
    <font/>
    <font>
      <sz val="10.0"/>
      <color theme="1"/>
      <name val="Calibri"/>
    </font>
    <font>
      <sz val="11.0"/>
      <color rgb="FF333333"/>
      <name val="Calibri"/>
    </font>
    <font>
      <b/>
      <sz val="11.0"/>
      <color theme="1"/>
      <name val="Calibri"/>
    </font>
    <font>
      <sz val="11.0"/>
      <color rgb="FF333333"/>
      <name val="Arial"/>
    </font>
    <font>
      <b/>
      <sz val="11.0"/>
      <color rgb="FF333333"/>
      <name val="Arial"/>
    </font>
    <font>
      <color theme="1"/>
      <name val="Calibri"/>
      <scheme val="minor"/>
    </font>
    <font>
      <sz val="10.0"/>
      <color rgb="FFFF0000"/>
      <name val="Calibri"/>
    </font>
  </fonts>
  <fills count="7">
    <fill>
      <patternFill patternType="none"/>
    </fill>
    <fill>
      <patternFill patternType="lightGray"/>
    </fill>
    <fill>
      <patternFill patternType="solid">
        <fgColor rgb="FF1B365D"/>
        <bgColor rgb="FF1B365D"/>
      </patternFill>
    </fill>
    <fill>
      <patternFill patternType="solid">
        <fgColor rgb="FFE5EBF2"/>
        <bgColor rgb="FFE5EBF2"/>
      </patternFill>
    </fill>
    <fill>
      <patternFill patternType="solid">
        <fgColor theme="0"/>
        <bgColor theme="0"/>
      </patternFill>
    </fill>
    <fill>
      <patternFill patternType="solid">
        <fgColor rgb="FFF2F2F2"/>
        <bgColor rgb="FFF2F2F2"/>
      </patternFill>
    </fill>
    <fill>
      <patternFill patternType="solid">
        <fgColor rgb="FFFFFF00"/>
        <bgColor rgb="FFFFFF00"/>
      </patternFill>
    </fill>
  </fills>
  <borders count="14">
    <border/>
    <border>
      <left/>
      <right style="thin">
        <color theme="0"/>
      </right>
      <top/>
      <bottom style="thin">
        <color rgb="FFD9D6D0"/>
      </bottom>
    </border>
    <border>
      <right style="thin">
        <color theme="0"/>
      </right>
      <top/>
      <bottom style="thin">
        <color rgb="FFD9D6D0"/>
      </bottom>
    </border>
    <border>
      <bottom style="thin">
        <color rgb="FF1B365D"/>
      </bottom>
    </border>
    <border>
      <left style="thin">
        <color theme="0"/>
      </left>
      <right style="thin">
        <color theme="0"/>
      </right>
      <top/>
      <bottom style="thin">
        <color rgb="FFD9D6D0"/>
      </bottom>
    </border>
    <border>
      <left/>
      <right style="thin">
        <color theme="0"/>
      </right>
      <top/>
      <bottom/>
    </border>
    <border>
      <left/>
      <top/>
      <bottom/>
    </border>
    <border>
      <left/>
      <right/>
      <top/>
      <bottom/>
    </border>
    <border>
      <top/>
      <bottom/>
    </border>
    <border>
      <right/>
      <top/>
      <bottom/>
    </border>
    <border>
      <left style="thin">
        <color rgb="FFD9D6D0"/>
      </left>
      <right style="thin">
        <color rgb="FFD9D6D0"/>
      </right>
      <top style="thin">
        <color rgb="FFD9D6D0"/>
      </top>
      <bottom style="thin">
        <color rgb="FFD9D6D0"/>
      </bottom>
    </border>
    <border>
      <left style="thin">
        <color theme="1"/>
      </left>
      <right style="thin">
        <color theme="1"/>
      </right>
      <top style="thin">
        <color theme="1"/>
      </top>
      <bottom style="thin">
        <color theme="1"/>
      </bottom>
    </border>
    <border>
      <left style="thin">
        <color rgb="FFD9D6D0"/>
      </left>
      <right style="thin">
        <color theme="0"/>
      </right>
      <top style="thin">
        <color rgb="FFD9D6D0"/>
      </top>
      <bottom style="thin">
        <color rgb="FFD9D6D0"/>
      </bottom>
    </border>
    <border>
      <left/>
      <right style="thin">
        <color rgb="FFD9D6D0"/>
      </right>
      <top style="thin">
        <color rgb="FFD9D6D0"/>
      </top>
      <bottom style="thin">
        <color rgb="FFD9D6D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0" numFmtId="0" xfId="0" applyFont="1"/>
    <xf borderId="1" fillId="2" fontId="1" numFmtId="0" xfId="0" applyAlignment="1" applyBorder="1" applyFill="1" applyFont="1">
      <alignment horizontal="center" readingOrder="0" shrinkToFit="0" vertical="center" wrapText="1"/>
    </xf>
    <xf borderId="0" fillId="0" fontId="2" numFmtId="0" xfId="0" applyFont="1"/>
    <xf borderId="2" fillId="2" fontId="1" numFmtId="0" xfId="0" applyAlignment="1" applyBorder="1" applyFill="1" applyFont="1">
      <alignment horizontal="left" readingOrder="0" shrinkToFit="0" vertical="center" wrapText="1"/>
    </xf>
    <xf borderId="3" fillId="0" fontId="3" numFmtId="0" xfId="0" applyBorder="1" applyFont="1"/>
    <xf borderId="4" fillId="2" fontId="1" numFmtId="0" xfId="0" applyAlignment="1" applyBorder="1" applyFill="1" applyFont="1">
      <alignment horizontal="center" readingOrder="0" shrinkToFit="0" vertical="center" wrapText="1"/>
    </xf>
    <xf borderId="3" fillId="0" fontId="4" numFmtId="0" xfId="0" applyBorder="1" applyFont="1"/>
    <xf borderId="4" fillId="2" fontId="1" numFmtId="0" xfId="0" applyAlignment="1" applyBorder="1" applyFill="1" applyFont="1">
      <alignment horizontal="center" shrinkToFit="0" vertical="center" wrapText="1"/>
    </xf>
    <xf borderId="5" fillId="2" fontId="1" numFmtId="0" xfId="0" applyAlignment="1" applyBorder="1" applyFill="1" applyFont="1">
      <alignment horizontal="center" shrinkToFit="0" vertical="center" wrapText="1"/>
    </xf>
    <xf borderId="6" fillId="3" fontId="2" numFmtId="0" xfId="0" applyBorder="1" applyFill="1" applyFont="1"/>
    <xf borderId="7" fillId="2" fontId="1" numFmtId="0" xfId="0" applyAlignment="1" applyBorder="1" applyFill="1" applyFont="1">
      <alignment horizontal="center" readingOrder="0" shrinkToFit="0" vertical="center" wrapText="1"/>
    </xf>
    <xf borderId="8" fillId="0" fontId="5" numFmtId="0" xfId="0" applyBorder="1" applyFont="1"/>
    <xf borderId="9" fillId="0" fontId="5" numFmtId="0" xfId="0" applyBorder="1" applyFont="1"/>
    <xf borderId="10" fillId="4" fontId="6" numFmtId="0" xfId="0" applyAlignment="1" applyBorder="1" applyFill="1" applyFont="1">
      <alignment horizontal="left" readingOrder="0" vertical="center"/>
    </xf>
    <xf borderId="0" fillId="0" fontId="7" numFmtId="0" xfId="0" applyAlignment="1" applyFont="1">
      <alignment readingOrder="0" shrinkToFit="0" vertical="center" wrapText="1"/>
    </xf>
    <xf borderId="6" fillId="3" fontId="2" numFmtId="0" xfId="0" applyAlignment="1" applyBorder="1" applyFill="1" applyFont="1">
      <alignment readingOrder="0"/>
    </xf>
    <xf borderId="11" fillId="5" fontId="8" numFmtId="0" xfId="0" applyBorder="1" applyFill="1" applyFont="1"/>
    <xf borderId="11" fillId="5" fontId="8" numFmtId="0" xfId="0" applyAlignment="1" applyBorder="1" applyFill="1" applyFont="1">
      <alignment readingOrder="0"/>
    </xf>
    <xf borderId="11" fillId="0" fontId="4" numFmtId="0" xfId="0" applyAlignment="1" applyBorder="1" applyFont="1">
      <alignment readingOrder="0"/>
    </xf>
    <xf borderId="11" fillId="0" fontId="9" numFmtId="0" xfId="0" applyAlignment="1" applyBorder="1" applyFont="1">
      <alignment readingOrder="0"/>
    </xf>
    <xf borderId="10" fillId="4" fontId="6" numFmtId="0" xfId="0" applyAlignment="1" applyBorder="1" applyFill="1" applyFont="1">
      <alignment horizontal="center" readingOrder="0" vertical="center"/>
    </xf>
    <xf borderId="11" fillId="0" fontId="9" numFmtId="0" xfId="0" applyBorder="1" applyFont="1"/>
    <xf borderId="10" fillId="4" fontId="6" numFmtId="0" xfId="0" applyAlignment="1" applyBorder="1" applyFill="1" applyFont="1">
      <alignment horizontal="left" readingOrder="0" shrinkToFit="0" vertical="center" wrapText="1"/>
    </xf>
    <xf borderId="12" fillId="4" fontId="6" numFmtId="0" xfId="0" applyAlignment="1" applyBorder="1" applyFill="1" applyFont="1">
      <alignment horizontal="left" readingOrder="0" shrinkToFit="0" vertical="center" wrapText="1"/>
    </xf>
    <xf borderId="11" fillId="5" fontId="10" numFmtId="0" xfId="0" applyBorder="1" applyFill="1" applyFont="1"/>
    <xf borderId="13" fillId="4" fontId="6" numFmtId="0" xfId="0" applyAlignment="1" applyBorder="1" applyFill="1" applyFont="1">
      <alignment horizontal="left" readingOrder="0" shrinkToFit="0" vertical="center" wrapText="1"/>
    </xf>
    <xf borderId="10" fillId="4" fontId="6" numFmtId="0" xfId="0" applyAlignment="1" applyBorder="1" applyFill="1" applyFont="1">
      <alignment readingOrder="0" vertical="center"/>
    </xf>
    <xf borderId="10" fillId="4" fontId="6" numFmtId="0" xfId="0" applyAlignment="1" applyBorder="1" applyFill="1" applyFont="1">
      <alignment readingOrder="0" shrinkToFit="0" vertical="center" wrapText="1"/>
    </xf>
    <xf borderId="0" fillId="0" fontId="11" numFmtId="0" xfId="0" applyAlignment="1" applyFont="1">
      <alignment readingOrder="0" shrinkToFit="0" wrapText="1"/>
    </xf>
    <xf borderId="10" fillId="6" fontId="6" numFmtId="0" xfId="0" applyAlignment="1" applyBorder="1" applyFill="1" applyFont="1">
      <alignment readingOrder="0" shrinkToFit="0" vertical="center" wrapText="1"/>
    </xf>
    <xf borderId="10" fillId="4" fontId="12" numFmtId="0" xfId="0" applyAlignment="1" applyBorder="1" applyFill="1" applyFont="1">
      <alignment readingOrder="0" shrinkToFit="0" vertical="center" wrapText="1"/>
    </xf>
    <xf borderId="0" fillId="0" fontId="11" numFmtId="0" xfId="0" applyAlignment="1" applyFont="1">
      <alignment readingOrder="0"/>
    </xf>
    <xf borderId="10" fillId="4" fontId="6" numFmtId="164" xfId="0" applyAlignment="1" applyBorder="1" applyFill="1" applyFont="1" applyNumberFormat="1">
      <alignment horizontal="left" readingOrder="0" vertical="center"/>
    </xf>
    <xf borderId="0" fillId="0" fontId="1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uillermo Alonso" id="{21b0f4c8-cfa7-47b5-9726-0600698c17d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9" dT="2026-08-05T12:08:42.00" personId="{21b0f4c8-cfa7-47b5-9726-0600698c17d6}" id="{89cf802d-8732-4909-a92f-24c502e0b125}" done="1">
    <x18tc:text xml:space="preserve">Revisar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8-05T12:09:31.00" personId="{21b0f4c8-cfa7-47b5-9726-0600698c17d6}" id="{45ec1611-1e14-4f33-8e79-da5188b58986}" done="1">
    <x18tc:text xml:space="preserve">Revisar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9.29"/>
    <col customWidth="1" min="3" max="3" width="27.0"/>
    <col customWidth="1" min="4" max="7" width="15.0"/>
    <col customWidth="1" min="8" max="26" width="8.86"/>
  </cols>
  <sheetData>
    <row r="1">
      <c r="B1" s="1"/>
      <c r="C1" s="1"/>
      <c r="D1" s="1"/>
      <c r="E1" s="1"/>
      <c r="F1" s="1"/>
      <c r="G1" s="1"/>
    </row>
    <row r="2">
      <c r="B2" s="3" t="s">
        <v>1</v>
      </c>
      <c r="C2" s="1"/>
      <c r="D2" s="1"/>
      <c r="E2" s="1"/>
      <c r="F2" s="1"/>
      <c r="G2" s="1"/>
    </row>
    <row r="3">
      <c r="B3" s="5"/>
      <c r="C3" s="7"/>
      <c r="D3" s="7"/>
      <c r="E3" s="7"/>
      <c r="F3" s="7"/>
      <c r="G3" s="7"/>
    </row>
    <row r="4">
      <c r="B4" s="1"/>
      <c r="C4" s="1"/>
      <c r="D4" s="1"/>
      <c r="E4" s="1"/>
      <c r="F4" s="1"/>
      <c r="G4" s="1"/>
    </row>
    <row r="5">
      <c r="B5" s="10" t="s">
        <v>6</v>
      </c>
      <c r="C5" s="12"/>
      <c r="D5" s="12"/>
      <c r="E5" s="12"/>
      <c r="F5" s="12"/>
      <c r="G5" s="13"/>
    </row>
    <row r="6" ht="63.0" customHeight="1">
      <c r="B6" s="15" t="s">
        <v>10</v>
      </c>
    </row>
    <row r="8">
      <c r="B8" s="1"/>
      <c r="C8" s="1"/>
      <c r="D8" s="1"/>
      <c r="E8" s="1"/>
      <c r="F8" s="1"/>
      <c r="G8" s="1"/>
    </row>
    <row r="9">
      <c r="B9" s="10" t="s">
        <v>11</v>
      </c>
      <c r="C9" s="12"/>
      <c r="D9" s="12"/>
      <c r="E9" s="12"/>
      <c r="F9" s="12"/>
      <c r="G9" s="13"/>
    </row>
    <row r="10" ht="60.0" customHeight="1">
      <c r="B10" s="15" t="s">
        <v>12</v>
      </c>
    </row>
    <row r="12">
      <c r="B12" s="1"/>
      <c r="C12" s="1"/>
      <c r="D12" s="1"/>
      <c r="E12" s="1"/>
      <c r="F12" s="1"/>
      <c r="G12" s="1"/>
    </row>
    <row r="13">
      <c r="B13" s="10" t="s">
        <v>13</v>
      </c>
      <c r="C13" s="12"/>
      <c r="D13" s="12"/>
      <c r="E13" s="12"/>
      <c r="F13" s="12"/>
      <c r="G13" s="13"/>
    </row>
    <row r="14" ht="53.25" customHeight="1">
      <c r="B14" s="15" t="s">
        <v>14</v>
      </c>
    </row>
    <row r="16">
      <c r="B16" s="1"/>
      <c r="C16" s="1"/>
      <c r="D16" s="1"/>
      <c r="E16" s="1"/>
      <c r="F16" s="1"/>
      <c r="G16" s="1"/>
    </row>
    <row r="17">
      <c r="B17" s="1"/>
      <c r="C17" s="1"/>
      <c r="D17" s="1"/>
      <c r="E17" s="1"/>
      <c r="F17" s="1"/>
      <c r="G17" s="1"/>
    </row>
    <row r="18" ht="15.75" customHeight="1">
      <c r="B18" s="16" t="s">
        <v>15</v>
      </c>
      <c r="C18" s="12"/>
      <c r="D18" s="12"/>
      <c r="E18" s="12"/>
      <c r="F18" s="12"/>
      <c r="G18" s="13"/>
    </row>
    <row r="19" ht="15.75" customHeight="1">
      <c r="B19" s="15" t="s">
        <v>16</v>
      </c>
    </row>
    <row r="20" ht="68.25" customHeight="1"/>
    <row r="21" ht="15.75" customHeight="1">
      <c r="B21" s="1"/>
      <c r="C21" s="1"/>
      <c r="D21" s="1"/>
      <c r="E21" s="1"/>
      <c r="F21" s="1"/>
      <c r="G21" s="1"/>
    </row>
    <row r="22" ht="15.75" customHeight="1">
      <c r="B22" s="1"/>
      <c r="C22" s="1"/>
      <c r="D22" s="1"/>
      <c r="E22" s="1"/>
      <c r="F22" s="1"/>
      <c r="G22" s="1"/>
    </row>
    <row r="23" ht="15.75" customHeight="1">
      <c r="B23" s="1"/>
      <c r="C23" s="1"/>
      <c r="D23" s="1"/>
      <c r="E23" s="1"/>
      <c r="F23" s="1"/>
      <c r="G23" s="1"/>
    </row>
    <row r="24" ht="15.75" customHeight="1">
      <c r="B24" s="17" t="s">
        <v>17</v>
      </c>
      <c r="C24" s="17" t="s">
        <v>18</v>
      </c>
      <c r="D24" s="18" t="s">
        <v>19</v>
      </c>
    </row>
    <row r="25" ht="15.75" customHeight="1">
      <c r="B25" s="19" t="s">
        <v>20</v>
      </c>
      <c r="C25" s="19" t="s">
        <v>21</v>
      </c>
      <c r="D25" s="19" t="s">
        <v>22</v>
      </c>
    </row>
    <row r="26" ht="15.75" customHeight="1">
      <c r="B26" s="20" t="s">
        <v>23</v>
      </c>
      <c r="C26" s="19" t="s">
        <v>24</v>
      </c>
      <c r="D26" s="19" t="s">
        <v>25</v>
      </c>
    </row>
    <row r="27" ht="15.75" customHeight="1">
      <c r="B27" s="22" t="s">
        <v>26</v>
      </c>
      <c r="C27" s="19" t="s">
        <v>28</v>
      </c>
      <c r="D27" s="19" t="s">
        <v>29</v>
      </c>
    </row>
    <row r="28" ht="15.75" customHeight="1">
      <c r="B28" s="22" t="s">
        <v>30</v>
      </c>
      <c r="C28" s="19" t="s">
        <v>31</v>
      </c>
      <c r="D28" s="19" t="s">
        <v>32</v>
      </c>
    </row>
    <row r="29" ht="15.75" customHeight="1">
      <c r="B29" s="22" t="s">
        <v>33</v>
      </c>
      <c r="C29" s="19" t="s">
        <v>34</v>
      </c>
      <c r="D29" s="19" t="s">
        <v>35</v>
      </c>
    </row>
    <row r="30" ht="15.75" customHeight="1">
      <c r="B30" s="20" t="s">
        <v>37</v>
      </c>
      <c r="C30" s="19" t="s">
        <v>38</v>
      </c>
      <c r="D30" s="19" t="s">
        <v>39</v>
      </c>
    </row>
    <row r="31" ht="15.75" customHeight="1">
      <c r="B31" s="1"/>
      <c r="C31" s="1"/>
      <c r="D31" s="1"/>
    </row>
    <row r="32" ht="15.75" customHeight="1">
      <c r="B32" s="1"/>
      <c r="C32" s="1"/>
      <c r="D32" s="1"/>
    </row>
    <row r="33" ht="15.75" customHeight="1">
      <c r="B33" s="25" t="s">
        <v>41</v>
      </c>
      <c r="C33" s="1"/>
      <c r="D33" s="1"/>
      <c r="E33" s="1"/>
      <c r="F33" s="1"/>
      <c r="G33" s="1"/>
    </row>
    <row r="34" ht="15.75" customHeight="1">
      <c r="B34" s="22" t="s">
        <v>43</v>
      </c>
      <c r="C34" s="1"/>
      <c r="D34" s="1"/>
      <c r="E34" s="1"/>
      <c r="F34" s="1"/>
      <c r="G34" s="1"/>
    </row>
    <row r="35" ht="15.75" customHeight="1">
      <c r="B35" s="22" t="s">
        <v>44</v>
      </c>
      <c r="C35" s="1"/>
      <c r="D35" s="1"/>
      <c r="E35" s="1"/>
      <c r="F35" s="1"/>
      <c r="G35" s="1"/>
    </row>
    <row r="36" ht="15.75" customHeight="1">
      <c r="B36" s="22" t="s">
        <v>45</v>
      </c>
      <c r="C36" s="1"/>
      <c r="D36" s="1"/>
      <c r="E36" s="1"/>
      <c r="F36" s="1"/>
      <c r="G36" s="1"/>
    </row>
    <row r="37" ht="15.75" customHeight="1">
      <c r="B37" s="1"/>
      <c r="C37" s="1"/>
      <c r="D37" s="1"/>
      <c r="E37" s="1"/>
      <c r="F37" s="1"/>
      <c r="G37" s="1"/>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8">
    <mergeCell ref="B5:G5"/>
    <mergeCell ref="B6:G7"/>
    <mergeCell ref="B9:G9"/>
    <mergeCell ref="B10:G11"/>
    <mergeCell ref="B13:G13"/>
    <mergeCell ref="B14:G15"/>
    <mergeCell ref="B18:G18"/>
    <mergeCell ref="B19:G20"/>
  </mergeCell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41.43"/>
    <col customWidth="1" min="3" max="3" width="20.29"/>
    <col customWidth="1" min="4" max="4" width="35.0"/>
    <col customWidth="1" min="5" max="5" width="21.29"/>
    <col customWidth="1" min="6" max="6" width="32.43"/>
    <col customWidth="1" min="7" max="7" width="53.0"/>
    <col customWidth="1" min="8" max="27" width="8.86"/>
  </cols>
  <sheetData>
    <row r="1" ht="53.25" customHeight="1">
      <c r="A1" s="2" t="s">
        <v>0</v>
      </c>
      <c r="B1" s="4" t="s">
        <v>2</v>
      </c>
      <c r="C1" s="6" t="s">
        <v>3</v>
      </c>
      <c r="D1" s="8" t="s">
        <v>4</v>
      </c>
      <c r="E1" s="8" t="s">
        <v>5</v>
      </c>
      <c r="F1" s="9" t="s">
        <v>7</v>
      </c>
      <c r="G1" s="11" t="s">
        <v>8</v>
      </c>
    </row>
    <row r="2" ht="53.25" customHeight="1">
      <c r="A2" s="14" t="s">
        <v>9</v>
      </c>
      <c r="B2" s="14" t="str">
        <f t="shared" ref="B2:B259" si="1">"ES-CEDCS-ZARZA-"&amp;A2</f>
        <v>ES-CEDCS-ZARZA-PUBLICACIONES-C001</v>
      </c>
      <c r="C2" s="21" t="str">
        <f t="shared" ref="C2:C259" si="2">RIGHT(B2,LEN(B2) - (FIND(CHAR(160),SUBSTITUTE(B2,"-",CHAR(160),4))))</f>
        <v>C001</v>
      </c>
      <c r="D2" s="23" t="s">
        <v>27</v>
      </c>
      <c r="E2" s="23" t="s">
        <v>36</v>
      </c>
      <c r="F2" s="24" t="s">
        <v>40</v>
      </c>
      <c r="G2" s="26" t="s">
        <v>42</v>
      </c>
    </row>
    <row r="3" ht="53.25" customHeight="1">
      <c r="A3" s="27" t="s">
        <v>46</v>
      </c>
      <c r="B3" s="14" t="str">
        <f t="shared" si="1"/>
        <v>ES-CEDCS-ZARZA-PUBLICACIONES-C001-P001</v>
      </c>
      <c r="C3" s="21" t="str">
        <f t="shared" si="2"/>
        <v>C001-P001</v>
      </c>
      <c r="D3" s="23" t="s">
        <v>47</v>
      </c>
      <c r="E3" s="23" t="s">
        <v>36</v>
      </c>
      <c r="F3" s="23" t="s">
        <v>48</v>
      </c>
      <c r="G3" s="23" t="s">
        <v>49</v>
      </c>
    </row>
    <row r="4" ht="53.25" customHeight="1">
      <c r="A4" s="27" t="s">
        <v>50</v>
      </c>
      <c r="B4" s="14" t="str">
        <f t="shared" si="1"/>
        <v>ES-CEDCS-ZARZA-PUBLICACIONES-C001-P002</v>
      </c>
      <c r="C4" s="21" t="str">
        <f t="shared" si="2"/>
        <v>C001-P002</v>
      </c>
      <c r="D4" s="28" t="s">
        <v>51</v>
      </c>
      <c r="E4" s="23" t="s">
        <v>36</v>
      </c>
      <c r="F4" s="23" t="s">
        <v>48</v>
      </c>
      <c r="G4" s="28" t="s">
        <v>52</v>
      </c>
    </row>
    <row r="5" ht="53.25" customHeight="1">
      <c r="A5" s="27" t="s">
        <v>53</v>
      </c>
      <c r="B5" s="14" t="str">
        <f t="shared" si="1"/>
        <v>ES-CEDCS-ZARZA-PUBLICACIONES-C001-P003</v>
      </c>
      <c r="C5" s="21" t="str">
        <f t="shared" si="2"/>
        <v>C001-P003</v>
      </c>
      <c r="D5" s="28" t="s">
        <v>54</v>
      </c>
      <c r="E5" s="14" t="s">
        <v>55</v>
      </c>
      <c r="F5" s="23" t="s">
        <v>48</v>
      </c>
      <c r="G5" s="28" t="s">
        <v>56</v>
      </c>
    </row>
    <row r="6" ht="53.25" customHeight="1">
      <c r="A6" s="14" t="s">
        <v>57</v>
      </c>
      <c r="B6" s="14" t="str">
        <f t="shared" si="1"/>
        <v>ES-CEDCS-ZARZA-PUBLICACIONES-C002</v>
      </c>
      <c r="C6" s="21" t="str">
        <f t="shared" si="2"/>
        <v>C002</v>
      </c>
      <c r="D6" s="28" t="s">
        <v>58</v>
      </c>
      <c r="E6" s="14" t="s">
        <v>59</v>
      </c>
      <c r="F6" s="23" t="s">
        <v>60</v>
      </c>
      <c r="G6" s="28" t="s">
        <v>61</v>
      </c>
    </row>
    <row r="7" ht="53.25" customHeight="1">
      <c r="A7" s="27" t="s">
        <v>62</v>
      </c>
      <c r="B7" s="14" t="str">
        <f t="shared" si="1"/>
        <v>ES-CEDCS-ZARZA-PUBLICACIONES-C002-P001</v>
      </c>
      <c r="C7" s="21" t="str">
        <f t="shared" si="2"/>
        <v>C002-P001</v>
      </c>
      <c r="D7" s="28" t="s">
        <v>63</v>
      </c>
      <c r="E7" s="14" t="s">
        <v>55</v>
      </c>
      <c r="F7" s="23" t="s">
        <v>48</v>
      </c>
      <c r="G7" s="28" t="s">
        <v>64</v>
      </c>
    </row>
    <row r="8" ht="53.25" customHeight="1">
      <c r="A8" s="27" t="s">
        <v>65</v>
      </c>
      <c r="B8" s="14" t="str">
        <f t="shared" si="1"/>
        <v>ES-CEDCS-ZARZA-PUBLICACIONES-C002-P002</v>
      </c>
      <c r="C8" s="21" t="str">
        <f t="shared" si="2"/>
        <v>C002-P002</v>
      </c>
      <c r="D8" s="28" t="s">
        <v>66</v>
      </c>
      <c r="E8" s="14" t="s">
        <v>55</v>
      </c>
      <c r="F8" s="23" t="s">
        <v>48</v>
      </c>
      <c r="G8" s="28" t="s">
        <v>67</v>
      </c>
    </row>
    <row r="9" ht="53.25" customHeight="1">
      <c r="A9" s="27" t="s">
        <v>68</v>
      </c>
      <c r="B9" s="14" t="str">
        <f t="shared" si="1"/>
        <v>ES-CEDCS-ZARZA-PUBLICACIONES-C002-P003</v>
      </c>
      <c r="C9" s="21" t="str">
        <f t="shared" si="2"/>
        <v>C002-P003</v>
      </c>
      <c r="D9" s="28" t="s">
        <v>69</v>
      </c>
      <c r="E9" s="14">
        <v>2009.0</v>
      </c>
      <c r="F9" s="23" t="s">
        <v>48</v>
      </c>
      <c r="G9" s="28" t="s">
        <v>70</v>
      </c>
    </row>
    <row r="10" ht="53.25" customHeight="1">
      <c r="A10" s="27" t="s">
        <v>71</v>
      </c>
      <c r="B10" s="14" t="str">
        <f t="shared" si="1"/>
        <v>ES-CEDCS-ZARZA-PUBLICACIONES-C002-P004</v>
      </c>
      <c r="C10" s="21" t="str">
        <f t="shared" si="2"/>
        <v>C002-P004</v>
      </c>
      <c r="D10" s="28" t="s">
        <v>72</v>
      </c>
      <c r="E10" s="14">
        <v>2005.0</v>
      </c>
      <c r="F10" s="23" t="s">
        <v>48</v>
      </c>
      <c r="G10" s="28" t="s">
        <v>73</v>
      </c>
    </row>
    <row r="11" ht="53.25" customHeight="1">
      <c r="A11" s="27" t="s">
        <v>74</v>
      </c>
      <c r="B11" s="14" t="str">
        <f t="shared" si="1"/>
        <v>ES-CEDCS-ZARZA-PUBLICACIONES-C002-P005</v>
      </c>
      <c r="C11" s="21" t="str">
        <f t="shared" si="2"/>
        <v>C002-P005</v>
      </c>
      <c r="D11" s="28" t="s">
        <v>75</v>
      </c>
      <c r="E11" s="14" t="s">
        <v>55</v>
      </c>
      <c r="F11" s="23" t="s">
        <v>48</v>
      </c>
      <c r="G11" s="28" t="s">
        <v>76</v>
      </c>
    </row>
    <row r="12" ht="53.25" customHeight="1">
      <c r="A12" s="14" t="s">
        <v>77</v>
      </c>
      <c r="B12" s="14" t="str">
        <f t="shared" si="1"/>
        <v>ES-CEDCS-ZARZA-PUBLICACIONES-C003</v>
      </c>
      <c r="C12" s="21" t="str">
        <f t="shared" si="2"/>
        <v>C003</v>
      </c>
      <c r="D12" s="28" t="s">
        <v>78</v>
      </c>
      <c r="E12" s="14" t="s">
        <v>55</v>
      </c>
      <c r="F12" s="28" t="s">
        <v>40</v>
      </c>
      <c r="G12" s="28" t="s">
        <v>79</v>
      </c>
    </row>
    <row r="13" ht="53.25" customHeight="1">
      <c r="A13" s="27" t="s">
        <v>80</v>
      </c>
      <c r="B13" s="14" t="str">
        <f t="shared" si="1"/>
        <v>ES-CEDCS-ZARZA-PUBLICACIONES-C003-P001</v>
      </c>
      <c r="C13" s="21" t="str">
        <f t="shared" si="2"/>
        <v>C003-P001</v>
      </c>
      <c r="D13" s="28" t="s">
        <v>81</v>
      </c>
      <c r="E13" s="14" t="s">
        <v>55</v>
      </c>
      <c r="F13" s="23" t="s">
        <v>48</v>
      </c>
      <c r="G13" s="28" t="s">
        <v>82</v>
      </c>
    </row>
    <row r="14" ht="53.25" customHeight="1">
      <c r="A14" s="27" t="s">
        <v>83</v>
      </c>
      <c r="B14" s="14" t="str">
        <f t="shared" si="1"/>
        <v>ES-CEDCS-ZARZA-PUBLICACIONES-C003-P002</v>
      </c>
      <c r="C14" s="21" t="str">
        <f t="shared" si="2"/>
        <v>C003-P002</v>
      </c>
      <c r="D14" s="28" t="s">
        <v>84</v>
      </c>
      <c r="E14" s="14" t="s">
        <v>55</v>
      </c>
      <c r="F14" s="23" t="s">
        <v>48</v>
      </c>
      <c r="G14" s="28" t="s">
        <v>82</v>
      </c>
    </row>
    <row r="15" ht="53.25" customHeight="1">
      <c r="A15" s="27" t="s">
        <v>85</v>
      </c>
      <c r="B15" s="14" t="str">
        <f t="shared" si="1"/>
        <v>ES-CEDCS-ZARZA-PUBLICACIONES-C003-P003</v>
      </c>
      <c r="C15" s="21" t="str">
        <f t="shared" si="2"/>
        <v>C003-P003</v>
      </c>
      <c r="D15" s="28" t="s">
        <v>86</v>
      </c>
      <c r="E15" s="14" t="s">
        <v>55</v>
      </c>
      <c r="F15" s="23" t="s">
        <v>48</v>
      </c>
      <c r="G15" s="28" t="s">
        <v>82</v>
      </c>
    </row>
    <row r="16" ht="53.25" customHeight="1">
      <c r="A16" s="27" t="s">
        <v>87</v>
      </c>
      <c r="B16" s="14" t="str">
        <f t="shared" si="1"/>
        <v>ES-CEDCS-ZARZA-PUBLICACIONES-C004</v>
      </c>
      <c r="C16" s="21" t="str">
        <f t="shared" si="2"/>
        <v>C004</v>
      </c>
      <c r="D16" s="28" t="s">
        <v>88</v>
      </c>
      <c r="E16" s="14" t="s">
        <v>89</v>
      </c>
      <c r="F16" s="23" t="s">
        <v>90</v>
      </c>
      <c r="G16" s="29" t="s">
        <v>91</v>
      </c>
    </row>
    <row r="17" ht="53.25" customHeight="1">
      <c r="A17" s="27" t="s">
        <v>92</v>
      </c>
      <c r="B17" s="14" t="str">
        <f t="shared" si="1"/>
        <v>ES-CEDCS-ZARZA-PUBLICACIONES-C004-P001</v>
      </c>
      <c r="C17" s="21" t="str">
        <f t="shared" si="2"/>
        <v>C004-P001</v>
      </c>
      <c r="D17" s="28" t="s">
        <v>93</v>
      </c>
      <c r="E17" s="14" t="s">
        <v>89</v>
      </c>
      <c r="F17" s="23" t="s">
        <v>48</v>
      </c>
      <c r="G17" s="28" t="s">
        <v>94</v>
      </c>
    </row>
    <row r="18" ht="53.25" customHeight="1">
      <c r="A18" s="27" t="s">
        <v>95</v>
      </c>
      <c r="B18" s="14" t="str">
        <f t="shared" si="1"/>
        <v>ES-CEDCS-ZARZA-PUBLICACIONES-C004-P002</v>
      </c>
      <c r="C18" s="21" t="str">
        <f t="shared" si="2"/>
        <v>C004-P002</v>
      </c>
      <c r="D18" s="28" t="s">
        <v>96</v>
      </c>
      <c r="E18" s="14" t="s">
        <v>97</v>
      </c>
      <c r="F18" s="23" t="s">
        <v>48</v>
      </c>
      <c r="G18" s="28" t="s">
        <v>98</v>
      </c>
    </row>
    <row r="19" ht="53.25" customHeight="1">
      <c r="A19" s="27" t="s">
        <v>99</v>
      </c>
      <c r="B19" s="14" t="str">
        <f t="shared" si="1"/>
        <v>ES-CEDCS-ZARZA-PUBLICACIONES-C005</v>
      </c>
      <c r="C19" s="21" t="str">
        <f t="shared" si="2"/>
        <v>C005</v>
      </c>
      <c r="D19" s="28" t="s">
        <v>100</v>
      </c>
      <c r="E19" s="14" t="s">
        <v>55</v>
      </c>
      <c r="F19" s="23" t="s">
        <v>101</v>
      </c>
      <c r="G19" s="28" t="s">
        <v>102</v>
      </c>
    </row>
    <row r="20" ht="53.25" customHeight="1">
      <c r="A20" s="27" t="s">
        <v>103</v>
      </c>
      <c r="B20" s="14" t="str">
        <f t="shared" si="1"/>
        <v>ES-CEDCS-ZARZA-PUBLICACIONES-C006</v>
      </c>
      <c r="C20" s="21" t="str">
        <f t="shared" si="2"/>
        <v>C006</v>
      </c>
      <c r="D20" s="28" t="s">
        <v>104</v>
      </c>
      <c r="E20" s="14" t="s">
        <v>105</v>
      </c>
      <c r="F20" s="23" t="s">
        <v>90</v>
      </c>
      <c r="G20" s="30" t="s">
        <v>106</v>
      </c>
    </row>
    <row r="21" ht="53.25" customHeight="1">
      <c r="A21" s="27" t="s">
        <v>107</v>
      </c>
      <c r="B21" s="14" t="str">
        <f t="shared" si="1"/>
        <v>ES-CEDCS-ZARZA-PUBLICACIONES-C006-P001</v>
      </c>
      <c r="C21" s="21" t="str">
        <f t="shared" si="2"/>
        <v>C006-P001</v>
      </c>
      <c r="D21" s="28" t="s">
        <v>108</v>
      </c>
      <c r="E21" s="14" t="s">
        <v>105</v>
      </c>
      <c r="F21" s="23" t="s">
        <v>48</v>
      </c>
      <c r="G21" s="30" t="s">
        <v>109</v>
      </c>
    </row>
    <row r="22" ht="53.25" customHeight="1">
      <c r="A22" s="27" t="s">
        <v>110</v>
      </c>
      <c r="B22" s="14" t="str">
        <f t="shared" si="1"/>
        <v>ES-CEDCS-ZARZA-PUBLICACIONES-C006-P002</v>
      </c>
      <c r="C22" s="21" t="str">
        <f t="shared" si="2"/>
        <v>C006-P002</v>
      </c>
      <c r="D22" s="28" t="s">
        <v>111</v>
      </c>
      <c r="E22" s="14" t="s">
        <v>105</v>
      </c>
      <c r="F22" s="23" t="s">
        <v>48</v>
      </c>
      <c r="G22" s="30" t="s">
        <v>112</v>
      </c>
    </row>
    <row r="23" ht="53.25" customHeight="1">
      <c r="A23" s="27" t="s">
        <v>113</v>
      </c>
      <c r="B23" s="14" t="str">
        <f t="shared" si="1"/>
        <v>ES-CEDCS-ZARZA-PUBLICACIONES-C007</v>
      </c>
      <c r="C23" s="21" t="str">
        <f t="shared" si="2"/>
        <v>C007</v>
      </c>
      <c r="D23" s="28" t="s">
        <v>114</v>
      </c>
      <c r="E23" s="14" t="s">
        <v>105</v>
      </c>
      <c r="F23" s="23" t="s">
        <v>90</v>
      </c>
      <c r="G23" s="30" t="s">
        <v>115</v>
      </c>
    </row>
    <row r="24" ht="53.25" customHeight="1">
      <c r="A24" s="27" t="s">
        <v>116</v>
      </c>
      <c r="B24" s="14" t="str">
        <f t="shared" si="1"/>
        <v>ES-CEDCS-ZARZA-PUBLICACIONES-C007-P001</v>
      </c>
      <c r="C24" s="21" t="str">
        <f t="shared" si="2"/>
        <v>C007-P001</v>
      </c>
      <c r="D24" s="28" t="s">
        <v>117</v>
      </c>
      <c r="E24" s="14" t="s">
        <v>105</v>
      </c>
      <c r="F24" s="23" t="s">
        <v>48</v>
      </c>
      <c r="G24" s="30" t="s">
        <v>118</v>
      </c>
    </row>
    <row r="25" ht="53.25" customHeight="1">
      <c r="A25" s="27" t="s">
        <v>119</v>
      </c>
      <c r="B25" s="14" t="str">
        <f t="shared" si="1"/>
        <v>ES-CEDCS-ZARZA-PUBLICACIONES-C007-P002</v>
      </c>
      <c r="C25" s="21" t="str">
        <f t="shared" si="2"/>
        <v>C007-P002</v>
      </c>
      <c r="D25" s="28" t="s">
        <v>120</v>
      </c>
      <c r="E25" s="14" t="s">
        <v>105</v>
      </c>
      <c r="F25" s="23" t="s">
        <v>48</v>
      </c>
      <c r="G25" s="30" t="s">
        <v>121</v>
      </c>
    </row>
    <row r="26" ht="53.25" customHeight="1">
      <c r="A26" s="27" t="s">
        <v>122</v>
      </c>
      <c r="B26" s="14" t="str">
        <f t="shared" si="1"/>
        <v>ES-CEDCS-ZARZA-PUBLICACIONES-C008</v>
      </c>
      <c r="C26" s="21" t="str">
        <f t="shared" si="2"/>
        <v>C008</v>
      </c>
      <c r="D26" s="28" t="s">
        <v>123</v>
      </c>
      <c r="E26" s="14" t="s">
        <v>105</v>
      </c>
      <c r="F26" s="23" t="s">
        <v>40</v>
      </c>
      <c r="G26" s="30" t="s">
        <v>124</v>
      </c>
    </row>
    <row r="27" ht="53.25" customHeight="1">
      <c r="A27" s="27" t="s">
        <v>125</v>
      </c>
      <c r="B27" s="14" t="str">
        <f t="shared" si="1"/>
        <v>ES-CEDCS-ZARZA-PUBLICACIONES-C008-P001</v>
      </c>
      <c r="C27" s="21" t="str">
        <f t="shared" si="2"/>
        <v>C008-P001</v>
      </c>
      <c r="D27" s="28" t="s">
        <v>126</v>
      </c>
      <c r="E27" s="14" t="s">
        <v>105</v>
      </c>
      <c r="F27" s="23" t="s">
        <v>48</v>
      </c>
      <c r="G27" s="30" t="s">
        <v>127</v>
      </c>
    </row>
    <row r="28" ht="53.25" customHeight="1">
      <c r="A28" s="27" t="s">
        <v>128</v>
      </c>
      <c r="B28" s="14" t="str">
        <f t="shared" si="1"/>
        <v>ES-CEDCS-ZARZA-PUBLICACIONES-C008-P002</v>
      </c>
      <c r="C28" s="21" t="str">
        <f t="shared" si="2"/>
        <v>C008-P002</v>
      </c>
      <c r="D28" s="28" t="s">
        <v>129</v>
      </c>
      <c r="E28" s="14" t="s">
        <v>105</v>
      </c>
      <c r="F28" s="23" t="s">
        <v>48</v>
      </c>
      <c r="G28" s="30" t="s">
        <v>130</v>
      </c>
    </row>
    <row r="29" ht="53.25" customHeight="1">
      <c r="A29" s="27" t="s">
        <v>131</v>
      </c>
      <c r="B29" s="14" t="str">
        <f t="shared" si="1"/>
        <v>ES-CEDCS-ZARZA-PUBLICACIONES-C008-P003</v>
      </c>
      <c r="C29" s="21" t="str">
        <f t="shared" si="2"/>
        <v>C008-P003</v>
      </c>
      <c r="D29" s="28" t="s">
        <v>132</v>
      </c>
      <c r="E29" s="14" t="s">
        <v>105</v>
      </c>
      <c r="F29" s="23" t="s">
        <v>48</v>
      </c>
      <c r="G29" s="30" t="s">
        <v>133</v>
      </c>
    </row>
    <row r="30" ht="53.25" customHeight="1">
      <c r="A30" s="27" t="s">
        <v>134</v>
      </c>
      <c r="B30" s="14" t="str">
        <f t="shared" si="1"/>
        <v>ES-CEDCS-ZARZA-PUBLICACIONES-C009</v>
      </c>
      <c r="C30" s="21" t="str">
        <f t="shared" si="2"/>
        <v>C009</v>
      </c>
      <c r="D30" s="28" t="s">
        <v>135</v>
      </c>
      <c r="E30" s="14" t="s">
        <v>105</v>
      </c>
      <c r="F30" s="23" t="s">
        <v>90</v>
      </c>
      <c r="G30" s="30" t="s">
        <v>136</v>
      </c>
    </row>
    <row r="31" ht="53.25" customHeight="1">
      <c r="A31" s="27" t="s">
        <v>137</v>
      </c>
      <c r="B31" s="14" t="str">
        <f t="shared" si="1"/>
        <v>ES-CEDCS-ZARZA-PUBLICACIONES-C009-P001</v>
      </c>
      <c r="C31" s="21" t="str">
        <f t="shared" si="2"/>
        <v>C009-P001</v>
      </c>
      <c r="D31" s="28" t="s">
        <v>138</v>
      </c>
      <c r="E31" s="14" t="s">
        <v>105</v>
      </c>
      <c r="F31" s="23" t="s">
        <v>48</v>
      </c>
      <c r="G31" s="30" t="s">
        <v>139</v>
      </c>
    </row>
    <row r="32" ht="53.25" customHeight="1">
      <c r="A32" s="27" t="s">
        <v>140</v>
      </c>
      <c r="B32" s="14" t="str">
        <f t="shared" si="1"/>
        <v>ES-CEDCS-ZARZA-PUBLICACIONES-C009-P002</v>
      </c>
      <c r="C32" s="21" t="str">
        <f t="shared" si="2"/>
        <v>C009-P002</v>
      </c>
      <c r="D32" s="28" t="s">
        <v>141</v>
      </c>
      <c r="E32" s="14" t="s">
        <v>105</v>
      </c>
      <c r="F32" s="23" t="s">
        <v>48</v>
      </c>
      <c r="G32" s="30" t="s">
        <v>142</v>
      </c>
    </row>
    <row r="33" ht="53.25" customHeight="1">
      <c r="A33" s="27" t="s">
        <v>143</v>
      </c>
      <c r="B33" s="14" t="str">
        <f t="shared" si="1"/>
        <v>ES-CEDCS-ZARZA-PUBLICACIONES-C010</v>
      </c>
      <c r="C33" s="21" t="str">
        <f t="shared" si="2"/>
        <v>C010</v>
      </c>
      <c r="D33" s="28" t="s">
        <v>144</v>
      </c>
      <c r="E33" s="14" t="s">
        <v>55</v>
      </c>
      <c r="F33" s="23" t="s">
        <v>90</v>
      </c>
      <c r="G33" s="28" t="s">
        <v>145</v>
      </c>
    </row>
    <row r="34" ht="53.25" customHeight="1">
      <c r="A34" s="27" t="s">
        <v>146</v>
      </c>
      <c r="B34" s="14" t="str">
        <f t="shared" si="1"/>
        <v>ES-CEDCS-ZARZA-PUBLICACIONES-C010-P001</v>
      </c>
      <c r="C34" s="21" t="str">
        <f t="shared" si="2"/>
        <v>C010-P001</v>
      </c>
      <c r="D34" s="31" t="s">
        <v>147</v>
      </c>
      <c r="E34" s="14" t="s">
        <v>55</v>
      </c>
      <c r="F34" s="23" t="s">
        <v>48</v>
      </c>
      <c r="G34" s="30" t="s">
        <v>148</v>
      </c>
      <c r="H34" s="32"/>
    </row>
    <row r="35" ht="53.25" customHeight="1">
      <c r="A35" s="27" t="s">
        <v>149</v>
      </c>
      <c r="B35" s="14" t="str">
        <f t="shared" si="1"/>
        <v>ES-CEDCS-ZARZA-PUBLICACIONES-C010-P002</v>
      </c>
      <c r="C35" s="21" t="str">
        <f t="shared" si="2"/>
        <v>C010-P002</v>
      </c>
      <c r="D35" s="28" t="s">
        <v>150</v>
      </c>
      <c r="E35" s="14" t="s">
        <v>55</v>
      </c>
      <c r="F35" s="23" t="s">
        <v>48</v>
      </c>
      <c r="G35" s="28" t="s">
        <v>151</v>
      </c>
    </row>
    <row r="36" ht="53.25" customHeight="1">
      <c r="A36" s="27" t="s">
        <v>152</v>
      </c>
      <c r="B36" s="14" t="str">
        <f t="shared" si="1"/>
        <v>ES-CEDCS-ZARZA-PUBLICACIONES-C011</v>
      </c>
      <c r="C36" s="21" t="str">
        <f t="shared" si="2"/>
        <v>C011</v>
      </c>
      <c r="D36" s="28" t="s">
        <v>153</v>
      </c>
      <c r="E36" s="14" t="s">
        <v>55</v>
      </c>
      <c r="F36" s="23" t="s">
        <v>90</v>
      </c>
      <c r="G36" s="28" t="s">
        <v>154</v>
      </c>
    </row>
    <row r="37" ht="53.25" customHeight="1">
      <c r="A37" s="27" t="s">
        <v>155</v>
      </c>
      <c r="B37" s="14" t="str">
        <f t="shared" si="1"/>
        <v>ES-CEDCS-ZARZA-PUBLICACIONES-C011-P001</v>
      </c>
      <c r="C37" s="21" t="str">
        <f t="shared" si="2"/>
        <v>C011-P001</v>
      </c>
      <c r="D37" s="28" t="s">
        <v>156</v>
      </c>
      <c r="E37" s="14" t="s">
        <v>55</v>
      </c>
      <c r="F37" s="23" t="s">
        <v>48</v>
      </c>
      <c r="G37" s="28" t="s">
        <v>157</v>
      </c>
    </row>
    <row r="38" ht="53.25" customHeight="1">
      <c r="A38" s="27" t="s">
        <v>158</v>
      </c>
      <c r="B38" s="14" t="str">
        <f t="shared" si="1"/>
        <v>ES-CEDCS-ZARZA-PUBLICACIONES-C011-P002</v>
      </c>
      <c r="C38" s="21" t="str">
        <f t="shared" si="2"/>
        <v>C011-P002</v>
      </c>
      <c r="D38" s="28" t="s">
        <v>159</v>
      </c>
      <c r="E38" s="14" t="s">
        <v>55</v>
      </c>
      <c r="F38" s="23" t="s">
        <v>48</v>
      </c>
      <c r="G38" s="30" t="s">
        <v>160</v>
      </c>
    </row>
    <row r="39" ht="53.25" customHeight="1">
      <c r="A39" s="27" t="s">
        <v>161</v>
      </c>
      <c r="B39" s="14" t="str">
        <f t="shared" si="1"/>
        <v>ES-CEDCS-ZARZA-EXPOSICIONES-C012</v>
      </c>
      <c r="C39" s="21" t="str">
        <f t="shared" si="2"/>
        <v>C012</v>
      </c>
      <c r="D39" s="28" t="s">
        <v>162</v>
      </c>
      <c r="E39" s="14" t="s">
        <v>55</v>
      </c>
      <c r="F39" s="23" t="s">
        <v>163</v>
      </c>
      <c r="G39" s="28" t="s">
        <v>164</v>
      </c>
      <c r="H39" s="32" t="s">
        <v>165</v>
      </c>
    </row>
    <row r="40" ht="53.25" customHeight="1">
      <c r="A40" s="27" t="s">
        <v>166</v>
      </c>
      <c r="B40" s="14" t="str">
        <f t="shared" si="1"/>
        <v>ES-CEDCS-ZARZA-EXPOSICIONES-C012-P001</v>
      </c>
      <c r="C40" s="21" t="str">
        <f t="shared" si="2"/>
        <v>C012-P001</v>
      </c>
      <c r="D40" s="28" t="s">
        <v>167</v>
      </c>
      <c r="E40" s="14" t="s">
        <v>168</v>
      </c>
      <c r="F40" s="23" t="s">
        <v>48</v>
      </c>
      <c r="G40" s="28" t="s">
        <v>169</v>
      </c>
    </row>
    <row r="41" ht="53.25" customHeight="1">
      <c r="A41" s="27" t="s">
        <v>170</v>
      </c>
      <c r="B41" s="14" t="str">
        <f t="shared" si="1"/>
        <v>ES-CEDCS-ZARZA-PUBLICACIONES-C013</v>
      </c>
      <c r="C41" s="21" t="str">
        <f t="shared" si="2"/>
        <v>C013</v>
      </c>
      <c r="D41" s="28" t="s">
        <v>171</v>
      </c>
      <c r="E41" s="14" t="s">
        <v>55</v>
      </c>
      <c r="F41" s="23" t="s">
        <v>90</v>
      </c>
      <c r="G41" s="28" t="s">
        <v>172</v>
      </c>
    </row>
    <row r="42" ht="53.25" customHeight="1">
      <c r="A42" s="27" t="s">
        <v>173</v>
      </c>
      <c r="B42" s="14" t="str">
        <f t="shared" si="1"/>
        <v>ES-CEDCS-ZARZA-PUBLICACIONES-C013-P001</v>
      </c>
      <c r="C42" s="21" t="str">
        <f t="shared" si="2"/>
        <v>C013-P001</v>
      </c>
      <c r="D42" s="28" t="s">
        <v>174</v>
      </c>
      <c r="E42" s="14" t="s">
        <v>55</v>
      </c>
      <c r="F42" s="23" t="s">
        <v>48</v>
      </c>
      <c r="G42" s="30" t="s">
        <v>175</v>
      </c>
    </row>
    <row r="43" ht="53.25" customHeight="1">
      <c r="A43" s="27" t="s">
        <v>176</v>
      </c>
      <c r="B43" s="14" t="str">
        <f t="shared" si="1"/>
        <v>ES-CEDCS-ZARZA-PUBLICACIONES-C013-P002</v>
      </c>
      <c r="C43" s="21" t="str">
        <f t="shared" si="2"/>
        <v>C013-P002</v>
      </c>
      <c r="D43" s="28" t="s">
        <v>177</v>
      </c>
      <c r="E43" s="14" t="s">
        <v>55</v>
      </c>
      <c r="F43" s="23" t="s">
        <v>48</v>
      </c>
      <c r="G43" s="28" t="s">
        <v>178</v>
      </c>
    </row>
    <row r="44" ht="53.25" customHeight="1">
      <c r="A44" s="27" t="s">
        <v>179</v>
      </c>
      <c r="B44" s="14" t="str">
        <f t="shared" si="1"/>
        <v>ES-CEDCS-ZARZA-AUDIOVISUAL-C014</v>
      </c>
      <c r="C44" s="21" t="str">
        <f t="shared" si="2"/>
        <v>C014</v>
      </c>
      <c r="D44" s="28" t="s">
        <v>180</v>
      </c>
      <c r="E44" s="14" t="s">
        <v>55</v>
      </c>
      <c r="F44" s="23" t="s">
        <v>181</v>
      </c>
      <c r="G44" s="28" t="s">
        <v>182</v>
      </c>
    </row>
    <row r="45" ht="53.25" customHeight="1">
      <c r="A45" s="27" t="s">
        <v>183</v>
      </c>
      <c r="B45" s="14" t="str">
        <f t="shared" si="1"/>
        <v>ES-CEDCS-ZARZA-AUDIOVISUAL-C015</v>
      </c>
      <c r="C45" s="21" t="str">
        <f t="shared" si="2"/>
        <v>C015</v>
      </c>
      <c r="D45" s="28" t="s">
        <v>184</v>
      </c>
      <c r="E45" s="14" t="s">
        <v>55</v>
      </c>
      <c r="F45" s="23" t="s">
        <v>185</v>
      </c>
      <c r="G45" s="28" t="s">
        <v>186</v>
      </c>
    </row>
    <row r="46" ht="53.25" customHeight="1">
      <c r="A46" s="27" t="s">
        <v>187</v>
      </c>
      <c r="B46" s="14" t="str">
        <f t="shared" si="1"/>
        <v>ES-CEDCS-ZARZA-AUDIOVISUAL-C016</v>
      </c>
      <c r="C46" s="21" t="str">
        <f t="shared" si="2"/>
        <v>C016</v>
      </c>
      <c r="D46" s="28" t="s">
        <v>188</v>
      </c>
      <c r="E46" s="14" t="s">
        <v>55</v>
      </c>
      <c r="F46" s="23" t="s">
        <v>189</v>
      </c>
      <c r="G46" s="28" t="s">
        <v>190</v>
      </c>
    </row>
    <row r="47" ht="53.25" customHeight="1">
      <c r="A47" s="27" t="s">
        <v>191</v>
      </c>
      <c r="B47" s="14" t="str">
        <f t="shared" si="1"/>
        <v>ES-CEDCS-ZARZA-EXPOSICIONES-C017</v>
      </c>
      <c r="C47" s="21" t="str">
        <f t="shared" si="2"/>
        <v>C017</v>
      </c>
      <c r="D47" s="28" t="s">
        <v>192</v>
      </c>
      <c r="E47" s="14" t="s">
        <v>193</v>
      </c>
      <c r="F47" s="23" t="s">
        <v>90</v>
      </c>
      <c r="G47" s="28" t="s">
        <v>194</v>
      </c>
    </row>
    <row r="48" ht="53.25" customHeight="1">
      <c r="A48" s="27" t="s">
        <v>195</v>
      </c>
      <c r="B48" s="14" t="str">
        <f t="shared" si="1"/>
        <v>ES-CEDCS-ZARZA-EXPOSICIONES-C017-P001</v>
      </c>
      <c r="C48" s="21" t="str">
        <f t="shared" si="2"/>
        <v>C017-P001</v>
      </c>
      <c r="D48" s="28" t="s">
        <v>196</v>
      </c>
      <c r="E48" s="14" t="s">
        <v>193</v>
      </c>
      <c r="F48" s="23" t="s">
        <v>48</v>
      </c>
      <c r="G48" s="28" t="s">
        <v>197</v>
      </c>
    </row>
    <row r="49" ht="53.25" customHeight="1">
      <c r="A49" s="27" t="s">
        <v>198</v>
      </c>
      <c r="B49" s="14" t="str">
        <f t="shared" si="1"/>
        <v>ES-CEDCS-ZARZA-EXPOSICIONES-C017-P002</v>
      </c>
      <c r="C49" s="21" t="str">
        <f t="shared" si="2"/>
        <v>C017-P002</v>
      </c>
      <c r="D49" s="28" t="s">
        <v>199</v>
      </c>
      <c r="E49" s="14">
        <v>2002.0</v>
      </c>
      <c r="F49" s="23" t="s">
        <v>48</v>
      </c>
      <c r="G49" s="28" t="s">
        <v>200</v>
      </c>
    </row>
    <row r="50" ht="53.25" customHeight="1">
      <c r="A50" s="27" t="s">
        <v>201</v>
      </c>
      <c r="B50" s="14" t="str">
        <f t="shared" si="1"/>
        <v>ES-CEDCS-ZARZA-EXPOSICIONES-C018</v>
      </c>
      <c r="C50" s="21" t="str">
        <f t="shared" si="2"/>
        <v>C018</v>
      </c>
      <c r="D50" s="28" t="s">
        <v>202</v>
      </c>
      <c r="E50" s="14" t="s">
        <v>203</v>
      </c>
      <c r="F50" s="23" t="s">
        <v>90</v>
      </c>
      <c r="G50" s="28" t="s">
        <v>204</v>
      </c>
    </row>
    <row r="51" ht="53.25" customHeight="1">
      <c r="A51" s="27" t="s">
        <v>205</v>
      </c>
      <c r="B51" s="14" t="str">
        <f t="shared" si="1"/>
        <v>ES-CEDCS-ZARZA-EXPOSICIONES-C018-P001</v>
      </c>
      <c r="C51" s="21" t="str">
        <f t="shared" si="2"/>
        <v>C018-P001</v>
      </c>
      <c r="D51" s="28" t="s">
        <v>206</v>
      </c>
      <c r="E51" s="14" t="s">
        <v>203</v>
      </c>
      <c r="F51" s="23" t="s">
        <v>48</v>
      </c>
      <c r="G51" s="28" t="s">
        <v>207</v>
      </c>
    </row>
    <row r="52" ht="53.25" customHeight="1">
      <c r="A52" s="27" t="s">
        <v>208</v>
      </c>
      <c r="B52" s="14" t="str">
        <f t="shared" si="1"/>
        <v>ES-CEDCS-ZARZA-EXPOSICIONES-C018-P002</v>
      </c>
      <c r="C52" s="21" t="str">
        <f t="shared" si="2"/>
        <v>C018-P002</v>
      </c>
      <c r="D52" s="28" t="s">
        <v>209</v>
      </c>
      <c r="E52" s="14" t="s">
        <v>203</v>
      </c>
      <c r="F52" s="23" t="s">
        <v>48</v>
      </c>
      <c r="G52" s="28" t="s">
        <v>210</v>
      </c>
    </row>
    <row r="53" ht="53.25" customHeight="1">
      <c r="A53" s="27" t="s">
        <v>211</v>
      </c>
      <c r="B53" s="14" t="str">
        <f t="shared" si="1"/>
        <v>ES-CEDCS-ZARZA-EXPOSICIONES-C019</v>
      </c>
      <c r="C53" s="21" t="str">
        <f t="shared" si="2"/>
        <v>C019</v>
      </c>
      <c r="D53" s="28" t="s">
        <v>212</v>
      </c>
      <c r="E53" s="14" t="s">
        <v>203</v>
      </c>
      <c r="F53" s="23" t="s">
        <v>90</v>
      </c>
      <c r="G53" s="28" t="s">
        <v>204</v>
      </c>
    </row>
    <row r="54" ht="53.25" customHeight="1">
      <c r="A54" s="27" t="s">
        <v>213</v>
      </c>
      <c r="B54" s="14" t="str">
        <f t="shared" si="1"/>
        <v>ES-CEDCS-ZARZA-EXPOSICIONES-C019-P001</v>
      </c>
      <c r="C54" s="21" t="str">
        <f t="shared" si="2"/>
        <v>C019-P001</v>
      </c>
      <c r="D54" s="28" t="s">
        <v>206</v>
      </c>
      <c r="E54" s="14" t="s">
        <v>55</v>
      </c>
      <c r="F54" s="23" t="s">
        <v>48</v>
      </c>
      <c r="G54" s="28" t="s">
        <v>214</v>
      </c>
    </row>
    <row r="55" ht="53.25" customHeight="1">
      <c r="A55" s="27" t="s">
        <v>215</v>
      </c>
      <c r="B55" s="14" t="str">
        <f t="shared" si="1"/>
        <v>ES-CEDCS-ZARZA-EXPOSICIONES-C019-P002</v>
      </c>
      <c r="C55" s="21" t="str">
        <f t="shared" si="2"/>
        <v>C019-P002</v>
      </c>
      <c r="D55" s="28" t="s">
        <v>209</v>
      </c>
      <c r="E55" s="14" t="s">
        <v>203</v>
      </c>
      <c r="F55" s="23" t="s">
        <v>48</v>
      </c>
      <c r="G55" s="28" t="s">
        <v>216</v>
      </c>
    </row>
    <row r="56" ht="53.25" customHeight="1">
      <c r="A56" s="27" t="s">
        <v>217</v>
      </c>
      <c r="B56" s="14" t="str">
        <f t="shared" si="1"/>
        <v>ES-CEDCS-ZARZA-EXPOSICIONES-C020</v>
      </c>
      <c r="C56" s="21" t="str">
        <f t="shared" si="2"/>
        <v>C020</v>
      </c>
      <c r="D56" s="28" t="s">
        <v>218</v>
      </c>
      <c r="E56" s="14" t="s">
        <v>203</v>
      </c>
      <c r="F56" s="23" t="s">
        <v>90</v>
      </c>
      <c r="G56" s="28" t="s">
        <v>204</v>
      </c>
    </row>
    <row r="57" ht="53.25" customHeight="1">
      <c r="A57" s="27" t="s">
        <v>219</v>
      </c>
      <c r="B57" s="14" t="str">
        <f t="shared" si="1"/>
        <v>ES-CEDCS-ZARZA-EXPOSICIONES-C020-P001</v>
      </c>
      <c r="C57" s="21" t="str">
        <f t="shared" si="2"/>
        <v>C020-P001</v>
      </c>
      <c r="D57" s="28" t="s">
        <v>206</v>
      </c>
      <c r="E57" s="14" t="s">
        <v>203</v>
      </c>
      <c r="F57" s="23" t="s">
        <v>48</v>
      </c>
      <c r="G57" s="28" t="s">
        <v>220</v>
      </c>
    </row>
    <row r="58" ht="53.25" customHeight="1">
      <c r="A58" s="27" t="s">
        <v>221</v>
      </c>
      <c r="B58" s="14" t="str">
        <f t="shared" si="1"/>
        <v>ES-CEDCS-ZARZA-EXPOSICIONES-C020-P002</v>
      </c>
      <c r="C58" s="21" t="str">
        <f t="shared" si="2"/>
        <v>C020-P002</v>
      </c>
      <c r="D58" s="28" t="s">
        <v>209</v>
      </c>
      <c r="E58" s="14" t="s">
        <v>203</v>
      </c>
      <c r="F58" s="23" t="s">
        <v>48</v>
      </c>
      <c r="G58" s="28" t="s">
        <v>222</v>
      </c>
    </row>
    <row r="59" ht="53.25" customHeight="1">
      <c r="A59" s="27" t="s">
        <v>223</v>
      </c>
      <c r="B59" s="14" t="str">
        <f t="shared" si="1"/>
        <v>ES-CEDCS-ZARZA-EXPOSICIONES-C021</v>
      </c>
      <c r="C59" s="21" t="str">
        <f t="shared" si="2"/>
        <v>C021</v>
      </c>
      <c r="D59" s="28" t="s">
        <v>224</v>
      </c>
      <c r="E59" s="14" t="s">
        <v>203</v>
      </c>
      <c r="F59" s="23" t="s">
        <v>90</v>
      </c>
      <c r="G59" s="28" t="s">
        <v>204</v>
      </c>
    </row>
    <row r="60" ht="53.25" customHeight="1">
      <c r="A60" s="27" t="s">
        <v>225</v>
      </c>
      <c r="B60" s="14" t="str">
        <f t="shared" si="1"/>
        <v>ES-CEDCS-ZARZA-EXPOSICIONES-C021-P001</v>
      </c>
      <c r="C60" s="21" t="str">
        <f t="shared" si="2"/>
        <v>C021-P001</v>
      </c>
      <c r="D60" s="28" t="s">
        <v>206</v>
      </c>
      <c r="E60" s="14" t="s">
        <v>203</v>
      </c>
      <c r="F60" s="23" t="s">
        <v>48</v>
      </c>
      <c r="G60" s="28" t="s">
        <v>226</v>
      </c>
    </row>
    <row r="61" ht="53.25" customHeight="1">
      <c r="A61" s="27" t="s">
        <v>227</v>
      </c>
      <c r="B61" s="14" t="str">
        <f t="shared" si="1"/>
        <v>ES-CEDCS-ZARZA-EXPOSICIONES-C021-P002</v>
      </c>
      <c r="C61" s="21" t="str">
        <f t="shared" si="2"/>
        <v>C021-P002</v>
      </c>
      <c r="D61" s="28" t="s">
        <v>209</v>
      </c>
      <c r="E61" s="14" t="s">
        <v>203</v>
      </c>
      <c r="F61" s="23" t="s">
        <v>48</v>
      </c>
      <c r="G61" s="28" t="s">
        <v>228</v>
      </c>
    </row>
    <row r="62" ht="53.25" customHeight="1">
      <c r="A62" s="27" t="s">
        <v>229</v>
      </c>
      <c r="B62" s="14" t="str">
        <f t="shared" si="1"/>
        <v>ES-CEDCS-ZARZA-EXPOSICIONES-C022</v>
      </c>
      <c r="C62" s="21" t="str">
        <f t="shared" si="2"/>
        <v>C022</v>
      </c>
      <c r="D62" s="28" t="s">
        <v>230</v>
      </c>
      <c r="E62" s="14" t="s">
        <v>203</v>
      </c>
      <c r="F62" s="23" t="s">
        <v>40</v>
      </c>
      <c r="G62" s="28" t="s">
        <v>204</v>
      </c>
    </row>
    <row r="63" ht="53.25" customHeight="1">
      <c r="A63" s="27" t="s">
        <v>231</v>
      </c>
      <c r="B63" s="14" t="str">
        <f t="shared" si="1"/>
        <v>ES-CEDCS-ZARZA-EXPOSICIONES-C022-P001</v>
      </c>
      <c r="C63" s="21" t="str">
        <f t="shared" si="2"/>
        <v>C022-P001</v>
      </c>
      <c r="D63" s="28" t="s">
        <v>206</v>
      </c>
      <c r="E63" s="14" t="s">
        <v>203</v>
      </c>
      <c r="F63" s="23" t="s">
        <v>48</v>
      </c>
      <c r="G63" s="28" t="s">
        <v>228</v>
      </c>
    </row>
    <row r="64" ht="53.25" customHeight="1">
      <c r="A64" s="27" t="s">
        <v>232</v>
      </c>
      <c r="B64" s="14" t="str">
        <f t="shared" si="1"/>
        <v>ES-CEDCS-ZARZA-EXPOSICIONES-C022-P002</v>
      </c>
      <c r="C64" s="21" t="str">
        <f t="shared" si="2"/>
        <v>C022-P002</v>
      </c>
      <c r="D64" s="28" t="s">
        <v>209</v>
      </c>
      <c r="E64" s="14" t="s">
        <v>203</v>
      </c>
      <c r="F64" s="23" t="s">
        <v>48</v>
      </c>
      <c r="G64" s="28" t="s">
        <v>233</v>
      </c>
    </row>
    <row r="65" ht="53.25" customHeight="1">
      <c r="A65" s="27" t="s">
        <v>234</v>
      </c>
      <c r="B65" s="14" t="str">
        <f t="shared" si="1"/>
        <v>ES-CEDCS-ZARZA-EXPOSICIONES-C022-P003</v>
      </c>
      <c r="C65" s="21" t="str">
        <f t="shared" si="2"/>
        <v>C022-P003</v>
      </c>
      <c r="D65" s="28" t="s">
        <v>235</v>
      </c>
      <c r="E65" s="14" t="s">
        <v>203</v>
      </c>
      <c r="F65" s="23" t="s">
        <v>48</v>
      </c>
      <c r="G65" s="28" t="s">
        <v>236</v>
      </c>
    </row>
    <row r="66" ht="53.25" customHeight="1">
      <c r="A66" s="27" t="s">
        <v>237</v>
      </c>
      <c r="B66" s="14" t="str">
        <f t="shared" si="1"/>
        <v>ES-CEDCS-ZARZA-EXPOSICIONES-C023</v>
      </c>
      <c r="C66" s="21" t="str">
        <f t="shared" si="2"/>
        <v>C023</v>
      </c>
      <c r="D66" s="28" t="s">
        <v>238</v>
      </c>
      <c r="E66" s="14" t="s">
        <v>203</v>
      </c>
      <c r="F66" s="23" t="s">
        <v>90</v>
      </c>
      <c r="G66" s="28" t="s">
        <v>204</v>
      </c>
    </row>
    <row r="67" ht="53.25" customHeight="1">
      <c r="A67" s="27" t="s">
        <v>239</v>
      </c>
      <c r="B67" s="14" t="str">
        <f t="shared" si="1"/>
        <v>ES-CEDCS-ZARZA-EXPOSICIONES-C023-P001</v>
      </c>
      <c r="C67" s="21" t="str">
        <f t="shared" si="2"/>
        <v>C023-P001</v>
      </c>
      <c r="D67" s="28" t="s">
        <v>206</v>
      </c>
      <c r="E67" s="14" t="s">
        <v>203</v>
      </c>
      <c r="F67" s="23" t="s">
        <v>48</v>
      </c>
      <c r="G67" s="28" t="s">
        <v>240</v>
      </c>
    </row>
    <row r="68" ht="53.25" customHeight="1">
      <c r="A68" s="27" t="s">
        <v>241</v>
      </c>
      <c r="B68" s="14" t="str">
        <f t="shared" si="1"/>
        <v>ES-CEDCS-ZARZA-EXPOSICIONES-C023-P002</v>
      </c>
      <c r="C68" s="21" t="str">
        <f t="shared" si="2"/>
        <v>C023-P002</v>
      </c>
      <c r="D68" s="28" t="s">
        <v>209</v>
      </c>
      <c r="E68" s="14" t="s">
        <v>203</v>
      </c>
      <c r="F68" s="23" t="s">
        <v>48</v>
      </c>
      <c r="G68" s="28" t="s">
        <v>242</v>
      </c>
    </row>
    <row r="69" ht="53.25" customHeight="1">
      <c r="A69" s="27" t="s">
        <v>243</v>
      </c>
      <c r="B69" s="14" t="str">
        <f t="shared" si="1"/>
        <v>ES-CEDCS-ZARZA-EXPOSICIONES-C024</v>
      </c>
      <c r="C69" s="21" t="str">
        <f t="shared" si="2"/>
        <v>C024</v>
      </c>
      <c r="D69" s="28" t="s">
        <v>244</v>
      </c>
      <c r="E69" s="14" t="s">
        <v>203</v>
      </c>
      <c r="F69" s="23" t="s">
        <v>163</v>
      </c>
      <c r="G69" s="28" t="s">
        <v>204</v>
      </c>
    </row>
    <row r="70" ht="53.25" customHeight="1">
      <c r="A70" s="27" t="s">
        <v>245</v>
      </c>
      <c r="B70" s="14" t="str">
        <f t="shared" si="1"/>
        <v>ES-CEDCS-ZARZA-EXPOSICIONES-C024-P001</v>
      </c>
      <c r="C70" s="21" t="str">
        <f t="shared" si="2"/>
        <v>C024-P001</v>
      </c>
      <c r="D70" s="28" t="s">
        <v>246</v>
      </c>
      <c r="E70" s="14" t="s">
        <v>203</v>
      </c>
      <c r="F70" s="23" t="s">
        <v>48</v>
      </c>
      <c r="G70" s="28" t="s">
        <v>247</v>
      </c>
    </row>
    <row r="71" ht="53.25" customHeight="1">
      <c r="A71" s="27" t="s">
        <v>248</v>
      </c>
      <c r="B71" s="14" t="str">
        <f t="shared" si="1"/>
        <v>ES-CEDCS-ZARZA-PUBLICACIONES-C025</v>
      </c>
      <c r="C71" s="21" t="str">
        <f t="shared" si="2"/>
        <v>C025</v>
      </c>
      <c r="D71" s="28" t="s">
        <v>249</v>
      </c>
      <c r="E71" s="14" t="s">
        <v>250</v>
      </c>
      <c r="F71" s="23" t="s">
        <v>90</v>
      </c>
      <c r="G71" s="28" t="s">
        <v>251</v>
      </c>
    </row>
    <row r="72" ht="53.25" customHeight="1">
      <c r="A72" s="27" t="s">
        <v>252</v>
      </c>
      <c r="B72" s="14" t="str">
        <f t="shared" si="1"/>
        <v>ES-CEDCS-ZARZA-PUBLICACIONES-C025-P001</v>
      </c>
      <c r="C72" s="21" t="str">
        <f t="shared" si="2"/>
        <v>C025-P001</v>
      </c>
      <c r="D72" s="28" t="s">
        <v>253</v>
      </c>
      <c r="E72" s="14" t="s">
        <v>250</v>
      </c>
      <c r="F72" s="23" t="s">
        <v>48</v>
      </c>
      <c r="G72" s="28" t="s">
        <v>254</v>
      </c>
    </row>
    <row r="73" ht="53.25" customHeight="1">
      <c r="A73" s="27" t="s">
        <v>255</v>
      </c>
      <c r="B73" s="14" t="str">
        <f t="shared" si="1"/>
        <v>ES-CEDCS-ZARZA-PUBLICACIONES-C025-P002</v>
      </c>
      <c r="C73" s="21" t="str">
        <f t="shared" si="2"/>
        <v>C025-P002</v>
      </c>
      <c r="D73" s="28" t="s">
        <v>256</v>
      </c>
      <c r="E73" s="14" t="s">
        <v>250</v>
      </c>
      <c r="F73" s="23" t="s">
        <v>48</v>
      </c>
      <c r="G73" s="30" t="s">
        <v>257</v>
      </c>
    </row>
    <row r="74" ht="53.25" customHeight="1">
      <c r="A74" s="27" t="s">
        <v>258</v>
      </c>
      <c r="B74" s="14" t="str">
        <f t="shared" si="1"/>
        <v>ES-CEDCS-ZARZA-PUBLICACIONES-C026</v>
      </c>
      <c r="C74" s="21" t="str">
        <f t="shared" si="2"/>
        <v>C026</v>
      </c>
      <c r="D74" s="28" t="s">
        <v>259</v>
      </c>
      <c r="E74" s="14" t="s">
        <v>260</v>
      </c>
      <c r="F74" s="23" t="s">
        <v>90</v>
      </c>
      <c r="G74" s="28" t="s">
        <v>261</v>
      </c>
    </row>
    <row r="75" ht="53.25" customHeight="1">
      <c r="A75" s="27" t="s">
        <v>262</v>
      </c>
      <c r="B75" s="14" t="str">
        <f t="shared" si="1"/>
        <v>ES-CEDCS-ZARZA-PUBLICACIONES-C026-P001</v>
      </c>
      <c r="C75" s="21" t="str">
        <f t="shared" si="2"/>
        <v>C026-P001</v>
      </c>
      <c r="D75" s="28" t="s">
        <v>263</v>
      </c>
      <c r="E75" s="14" t="s">
        <v>260</v>
      </c>
      <c r="F75" s="23" t="s">
        <v>48</v>
      </c>
      <c r="G75" s="28" t="s">
        <v>264</v>
      </c>
    </row>
    <row r="76" ht="53.25" customHeight="1">
      <c r="A76" s="27" t="s">
        <v>265</v>
      </c>
      <c r="B76" s="14" t="str">
        <f t="shared" si="1"/>
        <v>ES-CEDCS-ZARZA-EXPOSICIONES-C026-P002</v>
      </c>
      <c r="C76" s="21" t="str">
        <f t="shared" si="2"/>
        <v>C026-P002</v>
      </c>
      <c r="D76" s="28" t="s">
        <v>266</v>
      </c>
      <c r="E76" s="14" t="s">
        <v>267</v>
      </c>
      <c r="F76" s="23" t="s">
        <v>48</v>
      </c>
      <c r="G76" s="28" t="s">
        <v>268</v>
      </c>
    </row>
    <row r="77" ht="53.25" customHeight="1">
      <c r="A77" s="27" t="s">
        <v>269</v>
      </c>
      <c r="B77" s="14" t="str">
        <f t="shared" si="1"/>
        <v>ES-CEDCS-ZARZA-PUBLICACIONES-C027</v>
      </c>
      <c r="C77" s="21" t="str">
        <f t="shared" si="2"/>
        <v>C027</v>
      </c>
      <c r="D77" s="28" t="s">
        <v>270</v>
      </c>
      <c r="E77" s="14" t="s">
        <v>55</v>
      </c>
      <c r="F77" s="23" t="s">
        <v>90</v>
      </c>
      <c r="G77" s="28" t="s">
        <v>271</v>
      </c>
    </row>
    <row r="78" ht="53.25" customHeight="1">
      <c r="A78" s="27" t="s">
        <v>272</v>
      </c>
      <c r="B78" s="14" t="str">
        <f t="shared" si="1"/>
        <v>ES-CEDCS-ZARZA-PUBLICACIONES-C027-P001</v>
      </c>
      <c r="C78" s="21" t="str">
        <f t="shared" si="2"/>
        <v>C027-P001</v>
      </c>
      <c r="D78" s="28" t="s">
        <v>273</v>
      </c>
      <c r="E78" s="14" t="s">
        <v>55</v>
      </c>
      <c r="F78" s="23" t="s">
        <v>48</v>
      </c>
      <c r="G78" s="30" t="s">
        <v>274</v>
      </c>
    </row>
    <row r="79" ht="53.25" customHeight="1">
      <c r="A79" s="27" t="s">
        <v>275</v>
      </c>
      <c r="B79" s="14" t="str">
        <f t="shared" si="1"/>
        <v>ES-CEDCS-ZARZA-PUBLICACIONES-C027-P002</v>
      </c>
      <c r="C79" s="21" t="str">
        <f t="shared" si="2"/>
        <v>C027-P002</v>
      </c>
      <c r="D79" s="28" t="s">
        <v>276</v>
      </c>
      <c r="E79" s="14" t="s">
        <v>55</v>
      </c>
      <c r="F79" s="23" t="s">
        <v>48</v>
      </c>
      <c r="G79" s="28" t="s">
        <v>277</v>
      </c>
    </row>
    <row r="80" ht="53.25" customHeight="1">
      <c r="A80" s="27" t="s">
        <v>278</v>
      </c>
      <c r="B80" s="14" t="str">
        <f t="shared" si="1"/>
        <v>ES-CEDCS-ZARZA-EXPOSICIONES-C028</v>
      </c>
      <c r="C80" s="21" t="str">
        <f t="shared" si="2"/>
        <v>C028</v>
      </c>
      <c r="D80" s="28" t="s">
        <v>279</v>
      </c>
      <c r="E80" s="14" t="s">
        <v>55</v>
      </c>
      <c r="F80" s="23" t="s">
        <v>90</v>
      </c>
      <c r="G80" s="28" t="s">
        <v>280</v>
      </c>
    </row>
    <row r="81" ht="53.25" customHeight="1">
      <c r="A81" s="27" t="s">
        <v>281</v>
      </c>
      <c r="B81" s="14" t="str">
        <f t="shared" si="1"/>
        <v>ES-CEDCS-ZARZA-EXPOSICIONES-C028-P001</v>
      </c>
      <c r="C81" s="21" t="str">
        <f t="shared" si="2"/>
        <v>C028-P001</v>
      </c>
      <c r="D81" s="28" t="s">
        <v>282</v>
      </c>
      <c r="E81" s="14" t="s">
        <v>55</v>
      </c>
      <c r="F81" s="23" t="s">
        <v>48</v>
      </c>
      <c r="G81" s="28" t="s">
        <v>283</v>
      </c>
    </row>
    <row r="82" ht="53.25" customHeight="1">
      <c r="A82" s="27" t="s">
        <v>284</v>
      </c>
      <c r="B82" s="14" t="str">
        <f t="shared" si="1"/>
        <v>ES-CEDCS-ZARZA-EXPOSICIONES-C028-P002</v>
      </c>
      <c r="C82" s="21" t="str">
        <f t="shared" si="2"/>
        <v>C028-P002</v>
      </c>
      <c r="D82" s="28" t="s">
        <v>285</v>
      </c>
      <c r="E82" s="14" t="s">
        <v>55</v>
      </c>
      <c r="F82" s="23" t="s">
        <v>48</v>
      </c>
      <c r="G82" s="28" t="s">
        <v>286</v>
      </c>
    </row>
    <row r="83" ht="53.25" customHeight="1">
      <c r="A83" s="27" t="s">
        <v>287</v>
      </c>
      <c r="B83" s="14" t="str">
        <f t="shared" si="1"/>
        <v>ES-CEDCS-ZARZA-PERSONAL-C029</v>
      </c>
      <c r="C83" s="21" t="str">
        <f t="shared" si="2"/>
        <v>C029</v>
      </c>
      <c r="D83" s="28" t="s">
        <v>288</v>
      </c>
      <c r="E83" s="14" t="s">
        <v>55</v>
      </c>
      <c r="F83" s="23" t="s">
        <v>90</v>
      </c>
      <c r="G83" s="28" t="s">
        <v>289</v>
      </c>
    </row>
    <row r="84" ht="53.25" customHeight="1">
      <c r="A84" s="27" t="s">
        <v>290</v>
      </c>
      <c r="B84" s="14" t="str">
        <f t="shared" si="1"/>
        <v>ES-CEDCS-ZARZA-PERSONAL-C029-P001</v>
      </c>
      <c r="C84" s="21" t="str">
        <f t="shared" si="2"/>
        <v>C029-P001</v>
      </c>
      <c r="D84" s="28" t="s">
        <v>291</v>
      </c>
      <c r="E84" s="14" t="s">
        <v>55</v>
      </c>
      <c r="F84" s="23" t="s">
        <v>48</v>
      </c>
      <c r="G84" s="30" t="s">
        <v>292</v>
      </c>
    </row>
    <row r="85" ht="53.25" customHeight="1">
      <c r="A85" s="27" t="s">
        <v>293</v>
      </c>
      <c r="B85" s="14" t="str">
        <f t="shared" si="1"/>
        <v>ES-CEDCS-ZARZA-PERSONAL-C029-P002</v>
      </c>
      <c r="C85" s="21" t="str">
        <f t="shared" si="2"/>
        <v>C029-P002</v>
      </c>
      <c r="D85" s="28" t="s">
        <v>294</v>
      </c>
      <c r="E85" s="14" t="s">
        <v>55</v>
      </c>
      <c r="F85" s="23" t="s">
        <v>48</v>
      </c>
      <c r="G85" s="28" t="s">
        <v>295</v>
      </c>
    </row>
    <row r="86" ht="53.25" customHeight="1">
      <c r="A86" s="27" t="s">
        <v>296</v>
      </c>
      <c r="B86" s="14" t="str">
        <f t="shared" si="1"/>
        <v>ES-CEDCS-ZARZA-PERSONAL-C029-P003</v>
      </c>
      <c r="C86" s="21" t="str">
        <f t="shared" si="2"/>
        <v>C029-P003</v>
      </c>
      <c r="D86" s="28" t="s">
        <v>297</v>
      </c>
      <c r="E86" s="14" t="s">
        <v>55</v>
      </c>
      <c r="F86" s="23" t="s">
        <v>48</v>
      </c>
      <c r="G86" s="28" t="s">
        <v>298</v>
      </c>
    </row>
    <row r="87" ht="53.25" customHeight="1">
      <c r="A87" s="27" t="s">
        <v>299</v>
      </c>
      <c r="B87" s="14" t="str">
        <f t="shared" si="1"/>
        <v>ES-CEDCS-ZARZA-EXPOSICIONES-C030</v>
      </c>
      <c r="C87" s="21" t="str">
        <f t="shared" si="2"/>
        <v>C030</v>
      </c>
      <c r="D87" s="28" t="s">
        <v>300</v>
      </c>
      <c r="E87" s="14" t="s">
        <v>301</v>
      </c>
      <c r="F87" s="23" t="s">
        <v>90</v>
      </c>
      <c r="G87" s="28" t="s">
        <v>302</v>
      </c>
    </row>
    <row r="88" ht="53.25" customHeight="1">
      <c r="A88" s="27" t="s">
        <v>303</v>
      </c>
      <c r="B88" s="14" t="str">
        <f t="shared" si="1"/>
        <v>ES-CEDCS-ZARZA-EXPOSICIONES-C030-P001</v>
      </c>
      <c r="C88" s="21" t="str">
        <f t="shared" si="2"/>
        <v>C030-P001</v>
      </c>
      <c r="D88" s="28" t="s">
        <v>304</v>
      </c>
      <c r="E88" s="14" t="s">
        <v>301</v>
      </c>
      <c r="F88" s="23" t="s">
        <v>48</v>
      </c>
      <c r="G88" s="28" t="s">
        <v>305</v>
      </c>
    </row>
    <row r="89" ht="53.25" customHeight="1">
      <c r="A89" s="27" t="s">
        <v>306</v>
      </c>
      <c r="B89" s="14" t="str">
        <f t="shared" si="1"/>
        <v>ES-CEDCS-ZARZA-EXPOSICIONES-C030-P002</v>
      </c>
      <c r="C89" s="21" t="str">
        <f t="shared" si="2"/>
        <v>C030-P002</v>
      </c>
      <c r="D89" s="28" t="s">
        <v>307</v>
      </c>
      <c r="E89" s="14" t="s">
        <v>55</v>
      </c>
      <c r="F89" s="23" t="s">
        <v>48</v>
      </c>
      <c r="G89" s="28" t="s">
        <v>308</v>
      </c>
    </row>
    <row r="90" ht="53.25" customHeight="1">
      <c r="A90" s="27" t="s">
        <v>309</v>
      </c>
      <c r="B90" s="14" t="str">
        <f t="shared" si="1"/>
        <v>ES-CEDCS-ZARZA-EXPOSICIONES-C031</v>
      </c>
      <c r="C90" s="21" t="str">
        <f t="shared" si="2"/>
        <v>C031</v>
      </c>
      <c r="D90" s="28" t="s">
        <v>310</v>
      </c>
      <c r="E90" s="14" t="s">
        <v>55</v>
      </c>
      <c r="F90" s="23" t="s">
        <v>90</v>
      </c>
      <c r="G90" s="28" t="s">
        <v>311</v>
      </c>
    </row>
    <row r="91" ht="53.25" customHeight="1">
      <c r="A91" s="27" t="s">
        <v>312</v>
      </c>
      <c r="B91" s="14" t="str">
        <f t="shared" si="1"/>
        <v>ES-CEDCS-ZARZA-EXPOSICIONES-C031-P001</v>
      </c>
      <c r="C91" s="21" t="str">
        <f t="shared" si="2"/>
        <v>C031-P001</v>
      </c>
      <c r="D91" s="28" t="s">
        <v>313</v>
      </c>
      <c r="E91" s="14" t="s">
        <v>55</v>
      </c>
      <c r="F91" s="23" t="s">
        <v>48</v>
      </c>
      <c r="G91" s="28" t="s">
        <v>314</v>
      </c>
    </row>
    <row r="92" ht="53.25" customHeight="1">
      <c r="A92" s="27" t="s">
        <v>315</v>
      </c>
      <c r="B92" s="14" t="str">
        <f t="shared" si="1"/>
        <v>ES-CEDCS-ZARZA-EXPOSICIONES-C031-P002</v>
      </c>
      <c r="C92" s="21" t="str">
        <f t="shared" si="2"/>
        <v>C031-P002</v>
      </c>
      <c r="D92" s="28" t="s">
        <v>316</v>
      </c>
      <c r="E92" s="14" t="s">
        <v>55</v>
      </c>
      <c r="F92" s="23" t="s">
        <v>48</v>
      </c>
      <c r="G92" s="28" t="s">
        <v>317</v>
      </c>
    </row>
    <row r="93" ht="53.25" customHeight="1">
      <c r="A93" s="27" t="s">
        <v>318</v>
      </c>
      <c r="B93" s="14" t="str">
        <f t="shared" si="1"/>
        <v>ES-CEDCS-ZARZA-EXPOSICIONES-C032</v>
      </c>
      <c r="C93" s="21" t="str">
        <f t="shared" si="2"/>
        <v>C032</v>
      </c>
      <c r="D93" s="28" t="s">
        <v>319</v>
      </c>
      <c r="E93" s="14" t="s">
        <v>320</v>
      </c>
      <c r="F93" s="23" t="s">
        <v>90</v>
      </c>
      <c r="G93" s="28" t="s">
        <v>321</v>
      </c>
    </row>
    <row r="94" ht="53.25" customHeight="1">
      <c r="A94" s="27" t="s">
        <v>322</v>
      </c>
      <c r="B94" s="14" t="str">
        <f t="shared" si="1"/>
        <v>ES-CEDCS-ZARZA-EXPOSICIONES-C032-P001</v>
      </c>
      <c r="C94" s="21" t="str">
        <f t="shared" si="2"/>
        <v>C032-P001</v>
      </c>
      <c r="D94" s="28" t="s">
        <v>323</v>
      </c>
      <c r="E94" s="14" t="s">
        <v>320</v>
      </c>
      <c r="F94" s="23" t="s">
        <v>48</v>
      </c>
      <c r="G94" s="28" t="s">
        <v>324</v>
      </c>
    </row>
    <row r="95" ht="53.25" customHeight="1">
      <c r="A95" s="27" t="s">
        <v>325</v>
      </c>
      <c r="B95" s="14" t="str">
        <f t="shared" si="1"/>
        <v>ES-CEDCS-ZARZA-EXPOSICIONES-C032-P002</v>
      </c>
      <c r="C95" s="21" t="str">
        <f t="shared" si="2"/>
        <v>C032-P002</v>
      </c>
      <c r="D95" s="28" t="s">
        <v>326</v>
      </c>
      <c r="E95" s="14" t="s">
        <v>320</v>
      </c>
      <c r="F95" s="23" t="s">
        <v>48</v>
      </c>
      <c r="G95" s="28" t="s">
        <v>327</v>
      </c>
    </row>
    <row r="96" ht="53.25" customHeight="1">
      <c r="A96" s="27" t="s">
        <v>328</v>
      </c>
      <c r="B96" s="14" t="str">
        <f t="shared" si="1"/>
        <v>ES-CEDCS-ZARZA-EXPOSICIONES-C033</v>
      </c>
      <c r="C96" s="21" t="str">
        <f t="shared" si="2"/>
        <v>C033</v>
      </c>
      <c r="D96" s="28" t="s">
        <v>329</v>
      </c>
      <c r="E96" s="14" t="s">
        <v>330</v>
      </c>
      <c r="F96" s="23" t="s">
        <v>163</v>
      </c>
      <c r="G96" s="28" t="s">
        <v>331</v>
      </c>
    </row>
    <row r="97" ht="53.25" customHeight="1">
      <c r="A97" s="27" t="s">
        <v>332</v>
      </c>
      <c r="B97" s="14" t="str">
        <f t="shared" si="1"/>
        <v>ES-CEDCS-ZARZA-EXPOSICIONES-C033-P001</v>
      </c>
      <c r="C97" s="21" t="str">
        <f t="shared" si="2"/>
        <v>C033-P001</v>
      </c>
      <c r="D97" s="28" t="s">
        <v>333</v>
      </c>
      <c r="E97" s="14" t="s">
        <v>330</v>
      </c>
      <c r="F97" s="23" t="s">
        <v>48</v>
      </c>
      <c r="G97" s="28" t="s">
        <v>331</v>
      </c>
    </row>
    <row r="98" ht="53.25" customHeight="1">
      <c r="A98" s="27" t="s">
        <v>334</v>
      </c>
      <c r="B98" s="14" t="str">
        <f t="shared" si="1"/>
        <v>ES-CEDCS-ZARZA-EXPOSICIONES-C034</v>
      </c>
      <c r="C98" s="21" t="str">
        <f t="shared" si="2"/>
        <v>C034</v>
      </c>
      <c r="D98" s="28" t="s">
        <v>335</v>
      </c>
      <c r="E98" s="14" t="s">
        <v>330</v>
      </c>
      <c r="F98" s="23" t="s">
        <v>163</v>
      </c>
      <c r="G98" s="28" t="s">
        <v>336</v>
      </c>
    </row>
    <row r="99" ht="53.25" customHeight="1">
      <c r="A99" s="27" t="s">
        <v>337</v>
      </c>
      <c r="B99" s="14" t="str">
        <f t="shared" si="1"/>
        <v>ES-CEDCS-ZARZA-EXPOSICIONES-C034-P001</v>
      </c>
      <c r="C99" s="21" t="str">
        <f t="shared" si="2"/>
        <v>C034-P001</v>
      </c>
      <c r="D99" s="28" t="s">
        <v>338</v>
      </c>
      <c r="E99" s="14" t="s">
        <v>330</v>
      </c>
      <c r="F99" s="23" t="s">
        <v>48</v>
      </c>
      <c r="G99" s="28" t="s">
        <v>336</v>
      </c>
    </row>
    <row r="100" ht="53.25" customHeight="1">
      <c r="A100" s="27" t="s">
        <v>339</v>
      </c>
      <c r="B100" s="14" t="str">
        <f t="shared" si="1"/>
        <v>ES-CEDCS-ZARZA-EXPOSICIONES-C035</v>
      </c>
      <c r="C100" s="21" t="str">
        <f t="shared" si="2"/>
        <v>C035</v>
      </c>
      <c r="D100" s="28" t="s">
        <v>340</v>
      </c>
      <c r="E100" s="14" t="s">
        <v>301</v>
      </c>
      <c r="F100" s="23" t="s">
        <v>90</v>
      </c>
      <c r="G100" s="28" t="s">
        <v>341</v>
      </c>
    </row>
    <row r="101" ht="53.25" customHeight="1">
      <c r="A101" s="27" t="s">
        <v>342</v>
      </c>
      <c r="B101" s="14" t="str">
        <f t="shared" si="1"/>
        <v>ES-CEDCS-ZARZA-EXPOSICIONES-C035-P001</v>
      </c>
      <c r="C101" s="21" t="str">
        <f t="shared" si="2"/>
        <v>C035-P001</v>
      </c>
      <c r="D101" s="28" t="s">
        <v>343</v>
      </c>
      <c r="E101" s="14" t="s">
        <v>301</v>
      </c>
      <c r="F101" s="23" t="s">
        <v>48</v>
      </c>
      <c r="G101" s="28" t="s">
        <v>344</v>
      </c>
    </row>
    <row r="102" ht="53.25" customHeight="1">
      <c r="A102" s="27" t="s">
        <v>345</v>
      </c>
      <c r="B102" s="14" t="str">
        <f t="shared" si="1"/>
        <v>ES-CEDCS-ZARZA-EXPOSICIONES-C035-P002</v>
      </c>
      <c r="C102" s="21" t="str">
        <f t="shared" si="2"/>
        <v>C035-P002</v>
      </c>
      <c r="D102" s="28" t="s">
        <v>346</v>
      </c>
      <c r="E102" s="14" t="s">
        <v>301</v>
      </c>
      <c r="F102" s="23" t="s">
        <v>48</v>
      </c>
      <c r="G102" s="28" t="s">
        <v>347</v>
      </c>
    </row>
    <row r="103" ht="53.25" customHeight="1">
      <c r="A103" s="27" t="s">
        <v>348</v>
      </c>
      <c r="B103" s="14" t="str">
        <f t="shared" si="1"/>
        <v>ES-CEDCS-ZARZA-PERSONAL-C036</v>
      </c>
      <c r="C103" s="21" t="str">
        <f t="shared" si="2"/>
        <v>C036</v>
      </c>
      <c r="D103" s="28" t="s">
        <v>349</v>
      </c>
      <c r="E103" s="14" t="s">
        <v>350</v>
      </c>
      <c r="F103" s="23" t="s">
        <v>90</v>
      </c>
      <c r="G103" s="28" t="s">
        <v>351</v>
      </c>
    </row>
    <row r="104" ht="53.25" customHeight="1">
      <c r="A104" s="27" t="s">
        <v>352</v>
      </c>
      <c r="B104" s="14" t="str">
        <f t="shared" si="1"/>
        <v>ES-CEDCS-ZARZA-PERSONAL-C036-P001</v>
      </c>
      <c r="C104" s="21" t="str">
        <f t="shared" si="2"/>
        <v>C036-P001</v>
      </c>
      <c r="D104" s="28" t="s">
        <v>353</v>
      </c>
      <c r="E104" s="14" t="s">
        <v>350</v>
      </c>
      <c r="F104" s="23" t="s">
        <v>48</v>
      </c>
      <c r="G104" s="30" t="s">
        <v>354</v>
      </c>
    </row>
    <row r="105" ht="53.25" customHeight="1">
      <c r="A105" s="27" t="s">
        <v>355</v>
      </c>
      <c r="B105" s="14" t="str">
        <f t="shared" si="1"/>
        <v>ES-CEDCS-ZARZA-PERSONAL-C036-P002</v>
      </c>
      <c r="C105" s="21" t="str">
        <f t="shared" si="2"/>
        <v>C036-P002</v>
      </c>
      <c r="D105" s="28" t="s">
        <v>356</v>
      </c>
      <c r="E105" s="14" t="s">
        <v>55</v>
      </c>
      <c r="F105" s="23" t="s">
        <v>48</v>
      </c>
      <c r="G105" s="28" t="s">
        <v>357</v>
      </c>
    </row>
    <row r="106" ht="53.25" customHeight="1">
      <c r="A106" s="27" t="s">
        <v>358</v>
      </c>
      <c r="B106" s="14" t="str">
        <f t="shared" si="1"/>
        <v>ES-CEDCS-ZARZA-ARQUITECTURA-C037</v>
      </c>
      <c r="C106" s="21" t="str">
        <f t="shared" si="2"/>
        <v>C037</v>
      </c>
      <c r="D106" s="28" t="s">
        <v>359</v>
      </c>
      <c r="E106" s="14" t="s">
        <v>360</v>
      </c>
      <c r="F106" s="23" t="s">
        <v>90</v>
      </c>
      <c r="G106" s="28" t="s">
        <v>361</v>
      </c>
    </row>
    <row r="107" ht="53.25" customHeight="1">
      <c r="A107" s="27" t="s">
        <v>362</v>
      </c>
      <c r="B107" s="14" t="str">
        <f t="shared" si="1"/>
        <v>ES-CEDCS-ZARZA-ARQUITECTURA-C037-P001</v>
      </c>
      <c r="C107" s="21" t="str">
        <f t="shared" si="2"/>
        <v>C037-P001</v>
      </c>
      <c r="D107" s="28" t="s">
        <v>363</v>
      </c>
      <c r="E107" s="14" t="s">
        <v>55</v>
      </c>
      <c r="F107" s="23" t="s">
        <v>48</v>
      </c>
      <c r="G107" s="28" t="s">
        <v>364</v>
      </c>
    </row>
    <row r="108" ht="53.25" customHeight="1">
      <c r="A108" s="27" t="s">
        <v>365</v>
      </c>
      <c r="B108" s="14" t="str">
        <f t="shared" si="1"/>
        <v>ES-CEDCS-ZARZA-ARQUITECTURA-C037-P002</v>
      </c>
      <c r="C108" s="21" t="str">
        <f t="shared" si="2"/>
        <v>C037-P002</v>
      </c>
      <c r="D108" s="28" t="s">
        <v>366</v>
      </c>
      <c r="E108" s="14" t="s">
        <v>367</v>
      </c>
      <c r="F108" s="23" t="s">
        <v>48</v>
      </c>
      <c r="G108" s="28" t="s">
        <v>368</v>
      </c>
    </row>
    <row r="109" ht="53.25" customHeight="1">
      <c r="A109" s="27" t="s">
        <v>369</v>
      </c>
      <c r="B109" s="14" t="str">
        <f t="shared" si="1"/>
        <v>ES-CEDCS-ZARZA-AUDIOVISUAL-C038</v>
      </c>
      <c r="C109" s="21" t="str">
        <f t="shared" si="2"/>
        <v>C038</v>
      </c>
      <c r="D109" s="28" t="s">
        <v>370</v>
      </c>
      <c r="E109" s="14" t="s">
        <v>371</v>
      </c>
      <c r="F109" s="23" t="s">
        <v>90</v>
      </c>
      <c r="G109" s="28" t="s">
        <v>372</v>
      </c>
    </row>
    <row r="110" ht="53.25" customHeight="1">
      <c r="A110" s="27" t="s">
        <v>373</v>
      </c>
      <c r="B110" s="14" t="str">
        <f t="shared" si="1"/>
        <v>ES-CEDCS-ZARZA-AUDIOVISUAL-C038-P001</v>
      </c>
      <c r="C110" s="21" t="str">
        <f t="shared" si="2"/>
        <v>C038-P001</v>
      </c>
      <c r="D110" s="28" t="s">
        <v>374</v>
      </c>
      <c r="E110" s="14" t="s">
        <v>55</v>
      </c>
      <c r="F110" s="23" t="s">
        <v>48</v>
      </c>
      <c r="G110" s="30" t="s">
        <v>375</v>
      </c>
    </row>
    <row r="111" ht="53.25" customHeight="1">
      <c r="A111" s="27" t="s">
        <v>376</v>
      </c>
      <c r="B111" s="14" t="str">
        <f t="shared" si="1"/>
        <v>ES-CEDCS-ZARZA-AUDIOVISUAL-C038-P002</v>
      </c>
      <c r="C111" s="21" t="str">
        <f t="shared" si="2"/>
        <v>C038-P002</v>
      </c>
      <c r="D111" s="28" t="s">
        <v>377</v>
      </c>
      <c r="E111" s="14" t="s">
        <v>371</v>
      </c>
      <c r="F111" s="23" t="s">
        <v>48</v>
      </c>
      <c r="G111" s="30" t="s">
        <v>378</v>
      </c>
    </row>
    <row r="112" ht="53.25" customHeight="1">
      <c r="A112" s="27" t="s">
        <v>379</v>
      </c>
      <c r="B112" s="14" t="str">
        <f t="shared" si="1"/>
        <v>ES-CEDCS-ZARZA-EXPOSICIONES-C039</v>
      </c>
      <c r="C112" s="21" t="str">
        <f t="shared" si="2"/>
        <v>C039</v>
      </c>
      <c r="D112" s="28" t="s">
        <v>380</v>
      </c>
      <c r="E112" s="14" t="s">
        <v>381</v>
      </c>
      <c r="F112" s="23" t="s">
        <v>90</v>
      </c>
      <c r="G112" s="28" t="s">
        <v>382</v>
      </c>
    </row>
    <row r="113" ht="53.25" customHeight="1">
      <c r="A113" s="27" t="s">
        <v>383</v>
      </c>
      <c r="B113" s="14" t="str">
        <f t="shared" si="1"/>
        <v>ES-CEDCS-ZARZA-EXPOSICIONES-C039-P001</v>
      </c>
      <c r="C113" s="21" t="str">
        <f t="shared" si="2"/>
        <v>C039-P001</v>
      </c>
      <c r="D113" s="28" t="s">
        <v>384</v>
      </c>
      <c r="E113" s="14" t="s">
        <v>385</v>
      </c>
      <c r="F113" s="23" t="s">
        <v>48</v>
      </c>
      <c r="G113" s="28" t="s">
        <v>386</v>
      </c>
    </row>
    <row r="114" ht="53.25" customHeight="1">
      <c r="A114" s="27" t="s">
        <v>387</v>
      </c>
      <c r="B114" s="14" t="str">
        <f t="shared" si="1"/>
        <v>ES-CEDCS-ZARZA-EXPOSICIONES-C039-P002</v>
      </c>
      <c r="C114" s="21" t="str">
        <f t="shared" si="2"/>
        <v>C039-P002</v>
      </c>
      <c r="D114" s="28" t="s">
        <v>388</v>
      </c>
      <c r="E114" s="14" t="s">
        <v>389</v>
      </c>
      <c r="F114" s="23" t="s">
        <v>48</v>
      </c>
      <c r="G114" s="28" t="s">
        <v>390</v>
      </c>
    </row>
    <row r="115" ht="53.25" customHeight="1">
      <c r="A115" s="27" t="s">
        <v>391</v>
      </c>
      <c r="B115" s="14" t="str">
        <f t="shared" si="1"/>
        <v>ES-CEDCS-ZARZA-PERSONAL-C040</v>
      </c>
      <c r="C115" s="21" t="str">
        <f t="shared" si="2"/>
        <v>C040</v>
      </c>
      <c r="D115" s="28" t="s">
        <v>392</v>
      </c>
      <c r="E115" s="14" t="s">
        <v>55</v>
      </c>
      <c r="F115" s="23" t="s">
        <v>163</v>
      </c>
      <c r="G115" s="28" t="s">
        <v>393</v>
      </c>
    </row>
    <row r="116" ht="53.25" customHeight="1">
      <c r="A116" s="27" t="s">
        <v>394</v>
      </c>
      <c r="B116" s="14" t="str">
        <f t="shared" si="1"/>
        <v>ES-CEDCS-ZARZA-PERSONAL-C040-P001</v>
      </c>
      <c r="C116" s="21" t="str">
        <f t="shared" si="2"/>
        <v>C040-P001</v>
      </c>
      <c r="D116" s="28" t="s">
        <v>395</v>
      </c>
      <c r="E116" s="14" t="s">
        <v>55</v>
      </c>
      <c r="F116" s="23" t="s">
        <v>48</v>
      </c>
      <c r="G116" s="28" t="s">
        <v>393</v>
      </c>
    </row>
    <row r="117" ht="53.25" customHeight="1">
      <c r="A117" s="27" t="s">
        <v>396</v>
      </c>
      <c r="B117" s="14" t="str">
        <f t="shared" si="1"/>
        <v>ES-CEDCS-ZARZA-PERSONAL-C041</v>
      </c>
      <c r="C117" s="21" t="str">
        <f t="shared" si="2"/>
        <v>C041</v>
      </c>
      <c r="D117" s="28" t="s">
        <v>397</v>
      </c>
      <c r="E117" s="14" t="s">
        <v>55</v>
      </c>
      <c r="F117" s="23" t="s">
        <v>90</v>
      </c>
      <c r="G117" s="28" t="s">
        <v>398</v>
      </c>
    </row>
    <row r="118" ht="53.25" customHeight="1">
      <c r="A118" s="27" t="s">
        <v>399</v>
      </c>
      <c r="B118" s="14" t="str">
        <f t="shared" si="1"/>
        <v>ES-CEDCS-ZARZA-PERSONAL-C041-P001</v>
      </c>
      <c r="C118" s="21" t="str">
        <f t="shared" si="2"/>
        <v>C041-P001</v>
      </c>
      <c r="D118" s="28" t="s">
        <v>400</v>
      </c>
      <c r="E118" s="14" t="s">
        <v>55</v>
      </c>
      <c r="F118" s="23" t="s">
        <v>48</v>
      </c>
      <c r="G118" s="28" t="s">
        <v>401</v>
      </c>
    </row>
    <row r="119" ht="53.25" customHeight="1">
      <c r="A119" s="27" t="s">
        <v>402</v>
      </c>
      <c r="B119" s="14" t="str">
        <f t="shared" si="1"/>
        <v>ES-CEDCS-ZARZA-PERSONAL-C041-P002</v>
      </c>
      <c r="C119" s="21" t="str">
        <f t="shared" si="2"/>
        <v>C041-P002</v>
      </c>
      <c r="D119" s="28" t="s">
        <v>403</v>
      </c>
      <c r="E119" s="14" t="s">
        <v>55</v>
      </c>
      <c r="F119" s="23" t="s">
        <v>48</v>
      </c>
      <c r="G119" s="28" t="s">
        <v>404</v>
      </c>
    </row>
    <row r="120" ht="53.25" customHeight="1">
      <c r="A120" s="27" t="s">
        <v>405</v>
      </c>
      <c r="B120" s="14" t="str">
        <f t="shared" si="1"/>
        <v>ES-CEDCS-ZARZA-PERSONAL-C042</v>
      </c>
      <c r="C120" s="21" t="str">
        <f t="shared" si="2"/>
        <v>C042</v>
      </c>
      <c r="D120" s="28" t="s">
        <v>406</v>
      </c>
      <c r="E120" s="14" t="s">
        <v>55</v>
      </c>
      <c r="F120" s="23" t="s">
        <v>163</v>
      </c>
      <c r="G120" s="28" t="s">
        <v>407</v>
      </c>
    </row>
    <row r="121" ht="53.25" customHeight="1">
      <c r="A121" s="27" t="s">
        <v>408</v>
      </c>
      <c r="B121" s="14" t="str">
        <f t="shared" si="1"/>
        <v>ES-CEDCS-ZARZA-PERSONAL-C042-P001</v>
      </c>
      <c r="C121" s="21" t="str">
        <f t="shared" si="2"/>
        <v>C042-P001</v>
      </c>
      <c r="D121" s="28" t="s">
        <v>409</v>
      </c>
      <c r="E121" s="14" t="s">
        <v>55</v>
      </c>
      <c r="F121" s="23" t="s">
        <v>48</v>
      </c>
      <c r="G121" s="28" t="s">
        <v>407</v>
      </c>
    </row>
    <row r="122" ht="53.25" customHeight="1">
      <c r="A122" s="27" t="s">
        <v>410</v>
      </c>
      <c r="B122" s="14" t="str">
        <f t="shared" si="1"/>
        <v>ES-CEDCS-ZARZA-PERSONAL-C043</v>
      </c>
      <c r="C122" s="21" t="str">
        <f t="shared" si="2"/>
        <v>C043</v>
      </c>
      <c r="D122" s="28" t="s">
        <v>411</v>
      </c>
      <c r="E122" s="14" t="s">
        <v>55</v>
      </c>
      <c r="F122" s="23" t="s">
        <v>163</v>
      </c>
      <c r="G122" s="28" t="s">
        <v>412</v>
      </c>
    </row>
    <row r="123" ht="53.25" customHeight="1">
      <c r="A123" s="27" t="s">
        <v>413</v>
      </c>
      <c r="B123" s="14" t="str">
        <f t="shared" si="1"/>
        <v>ES-CEDCS-ZARZA-PERSONAL-C043-P001</v>
      </c>
      <c r="C123" s="21" t="str">
        <f t="shared" si="2"/>
        <v>C043-P001</v>
      </c>
      <c r="D123" s="28" t="s">
        <v>414</v>
      </c>
      <c r="E123" s="14" t="s">
        <v>55</v>
      </c>
      <c r="F123" s="23" t="s">
        <v>48</v>
      </c>
      <c r="G123" s="28" t="s">
        <v>412</v>
      </c>
    </row>
    <row r="124" ht="53.25" customHeight="1">
      <c r="A124" s="27" t="s">
        <v>415</v>
      </c>
      <c r="B124" s="14" t="str">
        <f t="shared" si="1"/>
        <v>ES-CEDCS-ZARZA-AUDIOVISUAL-C044</v>
      </c>
      <c r="C124" s="21" t="str">
        <f t="shared" si="2"/>
        <v>C044</v>
      </c>
      <c r="D124" s="28" t="s">
        <v>416</v>
      </c>
      <c r="E124" s="14" t="s">
        <v>55</v>
      </c>
      <c r="F124" s="23" t="s">
        <v>90</v>
      </c>
      <c r="G124" s="28" t="s">
        <v>417</v>
      </c>
    </row>
    <row r="125" ht="53.25" customHeight="1">
      <c r="A125" s="27" t="s">
        <v>418</v>
      </c>
      <c r="B125" s="14" t="str">
        <f t="shared" si="1"/>
        <v>ES-CEDCS-ZARZA-AUDIOVISUAL-C044-P001</v>
      </c>
      <c r="C125" s="21" t="str">
        <f t="shared" si="2"/>
        <v>C044-P001</v>
      </c>
      <c r="D125" s="28" t="s">
        <v>419</v>
      </c>
      <c r="E125" s="14" t="s">
        <v>55</v>
      </c>
      <c r="F125" s="23" t="s">
        <v>48</v>
      </c>
      <c r="G125" s="28" t="s">
        <v>420</v>
      </c>
    </row>
    <row r="126" ht="53.25" customHeight="1">
      <c r="A126" s="27" t="s">
        <v>421</v>
      </c>
      <c r="B126" s="14" t="str">
        <f t="shared" si="1"/>
        <v>ES-CEDCS-ZARZA-AUDIOVISUAL-C044-P002</v>
      </c>
      <c r="C126" s="21" t="str">
        <f t="shared" si="2"/>
        <v>C044-P002</v>
      </c>
      <c r="D126" s="28" t="s">
        <v>422</v>
      </c>
      <c r="E126" s="14" t="s">
        <v>55</v>
      </c>
      <c r="F126" s="23" t="s">
        <v>48</v>
      </c>
      <c r="G126" s="28" t="s">
        <v>423</v>
      </c>
    </row>
    <row r="127" ht="53.25" customHeight="1">
      <c r="A127" s="27" t="s">
        <v>424</v>
      </c>
      <c r="B127" s="14" t="str">
        <f t="shared" si="1"/>
        <v>ES-CEDCS-ZARZA-AUDIOVISUAL-C045</v>
      </c>
      <c r="C127" s="21" t="str">
        <f t="shared" si="2"/>
        <v>C045</v>
      </c>
      <c r="D127" s="28" t="s">
        <v>425</v>
      </c>
      <c r="E127" s="14" t="s">
        <v>55</v>
      </c>
      <c r="F127" s="23" t="s">
        <v>163</v>
      </c>
      <c r="G127" s="28" t="s">
        <v>426</v>
      </c>
    </row>
    <row r="128" ht="53.25" customHeight="1">
      <c r="A128" s="27" t="s">
        <v>427</v>
      </c>
      <c r="B128" s="14" t="str">
        <f t="shared" si="1"/>
        <v>ES-CEDCS-ZARZA-AUDIOVISUAL-C045-P001</v>
      </c>
      <c r="C128" s="21" t="str">
        <f t="shared" si="2"/>
        <v>C045-P001</v>
      </c>
      <c r="D128" s="28" t="s">
        <v>428</v>
      </c>
      <c r="E128" s="14" t="s">
        <v>55</v>
      </c>
      <c r="F128" s="23" t="s">
        <v>48</v>
      </c>
      <c r="G128" s="28" t="s">
        <v>429</v>
      </c>
    </row>
    <row r="129" ht="53.25" customHeight="1">
      <c r="A129" s="27" t="s">
        <v>430</v>
      </c>
      <c r="B129" s="14" t="str">
        <f t="shared" si="1"/>
        <v>ES-CEDCS-ZARZA-AUDIOVISUAL-C046</v>
      </c>
      <c r="C129" s="21" t="str">
        <f t="shared" si="2"/>
        <v>C046</v>
      </c>
      <c r="D129" s="28" t="s">
        <v>431</v>
      </c>
      <c r="E129" s="14" t="s">
        <v>55</v>
      </c>
      <c r="F129" s="23" t="s">
        <v>163</v>
      </c>
      <c r="G129" s="28" t="s">
        <v>426</v>
      </c>
    </row>
    <row r="130" ht="53.25" customHeight="1">
      <c r="A130" s="27" t="s">
        <v>432</v>
      </c>
      <c r="B130" s="14" t="str">
        <f t="shared" si="1"/>
        <v>ES-CEDCS-ZARZA-AUDIOVISUAL-C046-P001</v>
      </c>
      <c r="C130" s="21" t="str">
        <f t="shared" si="2"/>
        <v>C046-P001</v>
      </c>
      <c r="D130" s="28" t="s">
        <v>428</v>
      </c>
      <c r="E130" s="14" t="s">
        <v>55</v>
      </c>
      <c r="F130" s="23" t="s">
        <v>48</v>
      </c>
      <c r="G130" s="28" t="s">
        <v>429</v>
      </c>
    </row>
    <row r="131" ht="53.25" customHeight="1">
      <c r="A131" s="27" t="s">
        <v>433</v>
      </c>
      <c r="B131" s="14" t="str">
        <f t="shared" si="1"/>
        <v>ES-CEDCS-ZARZA-AUDIOVISUAL-C047</v>
      </c>
      <c r="C131" s="21" t="str">
        <f t="shared" si="2"/>
        <v>C047</v>
      </c>
      <c r="D131" s="28" t="s">
        <v>434</v>
      </c>
      <c r="E131" s="14" t="s">
        <v>55</v>
      </c>
      <c r="F131" s="23" t="s">
        <v>90</v>
      </c>
      <c r="G131" s="28" t="s">
        <v>435</v>
      </c>
    </row>
    <row r="132" ht="53.25" customHeight="1">
      <c r="A132" s="27" t="s">
        <v>436</v>
      </c>
      <c r="B132" s="14" t="str">
        <f t="shared" si="1"/>
        <v>ES-CEDCS-ZARZA-AUDIOVISUAL-C047-P001</v>
      </c>
      <c r="C132" s="21" t="str">
        <f t="shared" si="2"/>
        <v>C047-P001</v>
      </c>
      <c r="D132" s="28" t="s">
        <v>437</v>
      </c>
      <c r="E132" s="14" t="s">
        <v>55</v>
      </c>
      <c r="F132" s="23" t="s">
        <v>48</v>
      </c>
      <c r="G132" s="28" t="s">
        <v>438</v>
      </c>
    </row>
    <row r="133" ht="53.25" customHeight="1">
      <c r="A133" s="27" t="s">
        <v>439</v>
      </c>
      <c r="B133" s="14" t="str">
        <f t="shared" si="1"/>
        <v>ES-CEDCS-ZARZA-AUDIOVISUAL-C047-P002</v>
      </c>
      <c r="C133" s="21" t="str">
        <f t="shared" si="2"/>
        <v>C047-P002</v>
      </c>
      <c r="D133" s="28" t="s">
        <v>440</v>
      </c>
      <c r="E133" s="14" t="s">
        <v>55</v>
      </c>
      <c r="F133" s="23" t="s">
        <v>48</v>
      </c>
      <c r="G133" s="28" t="s">
        <v>441</v>
      </c>
    </row>
    <row r="134" ht="53.25" customHeight="1">
      <c r="A134" s="27" t="s">
        <v>442</v>
      </c>
      <c r="B134" s="14" t="str">
        <f t="shared" si="1"/>
        <v>ES-CEDCS-ZARZA-EXPOSICIONES-C048</v>
      </c>
      <c r="C134" s="21" t="str">
        <f t="shared" si="2"/>
        <v>C048</v>
      </c>
      <c r="D134" s="28" t="s">
        <v>443</v>
      </c>
      <c r="E134" s="14" t="s">
        <v>55</v>
      </c>
      <c r="F134" s="23" t="s">
        <v>444</v>
      </c>
      <c r="G134" s="28" t="s">
        <v>445</v>
      </c>
    </row>
    <row r="135" ht="53.25" customHeight="1">
      <c r="A135" s="27" t="s">
        <v>446</v>
      </c>
      <c r="B135" s="14" t="str">
        <f t="shared" si="1"/>
        <v>ES-CEDCS-ZARZA-EXPOSICIONES-C048-P001</v>
      </c>
      <c r="C135" s="21" t="str">
        <f t="shared" si="2"/>
        <v>C048-P001</v>
      </c>
      <c r="D135" s="28" t="s">
        <v>447</v>
      </c>
      <c r="E135" s="14" t="s">
        <v>55</v>
      </c>
      <c r="F135" s="23" t="s">
        <v>48</v>
      </c>
      <c r="G135" s="28" t="s">
        <v>448</v>
      </c>
    </row>
    <row r="136" ht="53.25" customHeight="1">
      <c r="A136" s="27" t="s">
        <v>449</v>
      </c>
      <c r="B136" s="14" t="str">
        <f t="shared" si="1"/>
        <v>ES-CEDCS-ZARZA-EXPOSICIONES-C049</v>
      </c>
      <c r="C136" s="21" t="str">
        <f t="shared" si="2"/>
        <v>C049</v>
      </c>
      <c r="D136" s="28" t="s">
        <v>450</v>
      </c>
      <c r="E136" s="14" t="s">
        <v>55</v>
      </c>
      <c r="F136" s="23" t="s">
        <v>90</v>
      </c>
      <c r="G136" s="28" t="s">
        <v>451</v>
      </c>
    </row>
    <row r="137" ht="53.25" customHeight="1">
      <c r="A137" s="27" t="s">
        <v>452</v>
      </c>
      <c r="B137" s="14" t="str">
        <f t="shared" si="1"/>
        <v>ES-CEDCS-ZARZA-EXPOSICIONES-C049-P001</v>
      </c>
      <c r="C137" s="21" t="str">
        <f t="shared" si="2"/>
        <v>C049-P001</v>
      </c>
      <c r="D137" s="28" t="s">
        <v>453</v>
      </c>
      <c r="E137" s="14" t="s">
        <v>55</v>
      </c>
      <c r="F137" s="23" t="s">
        <v>48</v>
      </c>
      <c r="G137" s="28" t="s">
        <v>454</v>
      </c>
    </row>
    <row r="138" ht="53.25" customHeight="1">
      <c r="A138" s="27" t="s">
        <v>455</v>
      </c>
      <c r="B138" s="14" t="str">
        <f t="shared" si="1"/>
        <v>ES-CEDCS-ZARZA-EXPOSICIONES-C049-P002</v>
      </c>
      <c r="C138" s="21" t="str">
        <f t="shared" si="2"/>
        <v>C049-P002</v>
      </c>
      <c r="D138" s="28" t="s">
        <v>456</v>
      </c>
      <c r="E138" s="14" t="s">
        <v>55</v>
      </c>
      <c r="F138" s="23" t="s">
        <v>48</v>
      </c>
      <c r="G138" s="28" t="s">
        <v>457</v>
      </c>
    </row>
    <row r="139" ht="53.25" customHeight="1">
      <c r="A139" s="27" t="s">
        <v>458</v>
      </c>
      <c r="B139" s="14" t="str">
        <f t="shared" si="1"/>
        <v>ES-CEDCS-ZARZA-EXPOSICIONES-C050</v>
      </c>
      <c r="C139" s="21" t="str">
        <f t="shared" si="2"/>
        <v>C050</v>
      </c>
      <c r="D139" s="28" t="s">
        <v>459</v>
      </c>
      <c r="E139" s="14" t="s">
        <v>55</v>
      </c>
      <c r="F139" s="23" t="s">
        <v>90</v>
      </c>
      <c r="G139" s="28" t="s">
        <v>460</v>
      </c>
    </row>
    <row r="140" ht="53.25" customHeight="1">
      <c r="A140" s="27" t="s">
        <v>461</v>
      </c>
      <c r="B140" s="14" t="str">
        <f t="shared" si="1"/>
        <v>ES-CEDCS-ZARZA-EXPOSICIONES-C050-P001</v>
      </c>
      <c r="C140" s="21" t="str">
        <f t="shared" si="2"/>
        <v>C050-P001</v>
      </c>
      <c r="D140" s="28" t="s">
        <v>462</v>
      </c>
      <c r="E140" s="14" t="s">
        <v>55</v>
      </c>
      <c r="F140" s="23" t="s">
        <v>48</v>
      </c>
      <c r="G140" s="28" t="s">
        <v>463</v>
      </c>
    </row>
    <row r="141" ht="53.25" customHeight="1">
      <c r="A141" s="27" t="s">
        <v>464</v>
      </c>
      <c r="B141" s="14" t="str">
        <f t="shared" si="1"/>
        <v>ES-CEDCS-ZARZA-EXPOSICIONES-C050-P002</v>
      </c>
      <c r="C141" s="21" t="str">
        <f t="shared" si="2"/>
        <v>C050-P002</v>
      </c>
      <c r="D141" s="28" t="s">
        <v>465</v>
      </c>
      <c r="E141" s="33">
        <v>39261.0</v>
      </c>
      <c r="F141" s="23" t="s">
        <v>48</v>
      </c>
      <c r="G141" s="28" t="s">
        <v>466</v>
      </c>
    </row>
    <row r="142" ht="53.25" customHeight="1">
      <c r="A142" s="27" t="s">
        <v>467</v>
      </c>
      <c r="B142" s="14" t="str">
        <f t="shared" si="1"/>
        <v>ES-CEDCS-ZARZA-EXPOSICIONES-C051</v>
      </c>
      <c r="C142" s="21" t="str">
        <f t="shared" si="2"/>
        <v>C051</v>
      </c>
      <c r="D142" s="28" t="s">
        <v>468</v>
      </c>
      <c r="E142" s="14" t="s">
        <v>55</v>
      </c>
      <c r="F142" s="23" t="s">
        <v>90</v>
      </c>
      <c r="G142" s="28" t="s">
        <v>469</v>
      </c>
    </row>
    <row r="143" ht="53.25" customHeight="1">
      <c r="A143" s="27" t="s">
        <v>470</v>
      </c>
      <c r="B143" s="14" t="str">
        <f t="shared" si="1"/>
        <v>ES-CEDCS-ZARZA-EXPOSICIONES-C051-P001</v>
      </c>
      <c r="C143" s="21" t="str">
        <f t="shared" si="2"/>
        <v>C051-P001</v>
      </c>
      <c r="D143" s="28" t="s">
        <v>471</v>
      </c>
      <c r="E143" s="14" t="s">
        <v>55</v>
      </c>
      <c r="F143" s="23" t="s">
        <v>48</v>
      </c>
      <c r="G143" s="28" t="s">
        <v>472</v>
      </c>
    </row>
    <row r="144" ht="53.25" customHeight="1">
      <c r="A144" s="27" t="s">
        <v>473</v>
      </c>
      <c r="B144" s="14" t="str">
        <f t="shared" si="1"/>
        <v>ES-CEDCS-ZARZA-EXPOSICIONES-C051-P002</v>
      </c>
      <c r="C144" s="21" t="str">
        <f t="shared" si="2"/>
        <v>C051-P002</v>
      </c>
      <c r="D144" s="28" t="s">
        <v>474</v>
      </c>
      <c r="E144" s="14" t="s">
        <v>55</v>
      </c>
      <c r="F144" s="23" t="s">
        <v>48</v>
      </c>
      <c r="G144" s="28" t="s">
        <v>475</v>
      </c>
    </row>
    <row r="145" ht="53.25" customHeight="1">
      <c r="A145" s="27" t="s">
        <v>476</v>
      </c>
      <c r="B145" s="14" t="str">
        <f t="shared" si="1"/>
        <v>ES-CEDCS-ZARZA-AUDIOVISUAL-C052</v>
      </c>
      <c r="C145" s="21" t="str">
        <f t="shared" si="2"/>
        <v>C052</v>
      </c>
      <c r="D145" s="28" t="s">
        <v>477</v>
      </c>
      <c r="E145" s="14" t="s">
        <v>478</v>
      </c>
      <c r="F145" s="23" t="s">
        <v>163</v>
      </c>
      <c r="G145" s="28" t="s">
        <v>479</v>
      </c>
    </row>
    <row r="146" ht="53.25" customHeight="1">
      <c r="A146" s="27" t="s">
        <v>480</v>
      </c>
      <c r="B146" s="14" t="str">
        <f t="shared" si="1"/>
        <v>ES-CEDCS-ZARZA-AUDIOVISUAL-C052-P001</v>
      </c>
      <c r="C146" s="21" t="str">
        <f t="shared" si="2"/>
        <v>C052-P001</v>
      </c>
      <c r="D146" s="28" t="s">
        <v>481</v>
      </c>
      <c r="E146" s="14" t="s">
        <v>478</v>
      </c>
      <c r="F146" s="23" t="s">
        <v>48</v>
      </c>
      <c r="G146" s="28" t="s">
        <v>482</v>
      </c>
    </row>
    <row r="147" ht="53.25" customHeight="1">
      <c r="A147" s="27" t="s">
        <v>483</v>
      </c>
      <c r="B147" s="14" t="str">
        <f t="shared" si="1"/>
        <v>ES-CEDCS-ZARZA-AUDIOVISUAL-C053</v>
      </c>
      <c r="C147" s="21" t="str">
        <f t="shared" si="2"/>
        <v>C053</v>
      </c>
      <c r="D147" s="28" t="s">
        <v>484</v>
      </c>
      <c r="E147" s="14" t="s">
        <v>478</v>
      </c>
      <c r="F147" s="23" t="s">
        <v>163</v>
      </c>
      <c r="G147" s="28" t="s">
        <v>485</v>
      </c>
    </row>
    <row r="148" ht="53.25" customHeight="1">
      <c r="A148" s="27" t="s">
        <v>486</v>
      </c>
      <c r="B148" s="14" t="str">
        <f t="shared" si="1"/>
        <v>ES-CEDCS-ZARZA-AUDIOVISUAL-C053-P001</v>
      </c>
      <c r="C148" s="21" t="str">
        <f t="shared" si="2"/>
        <v>C053-P001</v>
      </c>
      <c r="D148" s="28" t="s">
        <v>487</v>
      </c>
      <c r="E148" s="14" t="s">
        <v>478</v>
      </c>
      <c r="F148" s="23" t="s">
        <v>48</v>
      </c>
      <c r="G148" s="28" t="s">
        <v>488</v>
      </c>
    </row>
    <row r="149" ht="53.25" customHeight="1">
      <c r="A149" s="27" t="s">
        <v>489</v>
      </c>
      <c r="B149" s="14" t="str">
        <f t="shared" si="1"/>
        <v>ES-CEDCS-ZARZA-EXPOSICIONES-C054</v>
      </c>
      <c r="C149" s="21" t="str">
        <f t="shared" si="2"/>
        <v>C054</v>
      </c>
      <c r="D149" s="28" t="s">
        <v>490</v>
      </c>
      <c r="E149" s="14" t="s">
        <v>491</v>
      </c>
      <c r="F149" s="23" t="s">
        <v>90</v>
      </c>
      <c r="G149" s="28" t="s">
        <v>492</v>
      </c>
    </row>
    <row r="150" ht="53.25" customHeight="1">
      <c r="A150" s="27" t="s">
        <v>493</v>
      </c>
      <c r="B150" s="14" t="str">
        <f t="shared" si="1"/>
        <v>ES-CEDCS-ZARZA-EXPOSICIONES-C054-P001</v>
      </c>
      <c r="C150" s="21" t="str">
        <f t="shared" si="2"/>
        <v>C054-P001</v>
      </c>
      <c r="D150" s="28" t="s">
        <v>494</v>
      </c>
      <c r="E150" s="14" t="s">
        <v>491</v>
      </c>
      <c r="F150" s="23" t="s">
        <v>48</v>
      </c>
      <c r="G150" s="28" t="s">
        <v>495</v>
      </c>
    </row>
    <row r="151" ht="53.25" customHeight="1">
      <c r="A151" s="27" t="s">
        <v>496</v>
      </c>
      <c r="B151" s="14" t="str">
        <f t="shared" si="1"/>
        <v>ES-CEDCS-ZARZA-EXPOSICIONES-C054-P002</v>
      </c>
      <c r="C151" s="21" t="str">
        <f t="shared" si="2"/>
        <v>C054-P002</v>
      </c>
      <c r="D151" s="28" t="s">
        <v>497</v>
      </c>
      <c r="E151" s="14" t="s">
        <v>491</v>
      </c>
      <c r="F151" s="23" t="s">
        <v>48</v>
      </c>
      <c r="G151" s="28" t="s">
        <v>498</v>
      </c>
    </row>
    <row r="152" ht="53.25" customHeight="1">
      <c r="A152" s="27" t="s">
        <v>499</v>
      </c>
      <c r="B152" s="14" t="str">
        <f t="shared" si="1"/>
        <v>ES-CEDCS-ZARZA-PUBLICACIONES-C055</v>
      </c>
      <c r="C152" s="21" t="str">
        <f t="shared" si="2"/>
        <v>C055</v>
      </c>
      <c r="D152" s="28" t="s">
        <v>500</v>
      </c>
      <c r="E152" s="14" t="s">
        <v>55</v>
      </c>
      <c r="F152" s="23" t="s">
        <v>501</v>
      </c>
      <c r="G152" s="28" t="s">
        <v>502</v>
      </c>
    </row>
    <row r="153" ht="53.25" customHeight="1">
      <c r="A153" s="27" t="s">
        <v>503</v>
      </c>
      <c r="B153" s="14" t="str">
        <f t="shared" si="1"/>
        <v>ES-CEDCS-ZARZA-PUBLICACIONES-C055-P001</v>
      </c>
      <c r="C153" s="21" t="str">
        <f t="shared" si="2"/>
        <v>C055-P001</v>
      </c>
      <c r="D153" s="28" t="s">
        <v>504</v>
      </c>
      <c r="E153" s="14" t="s">
        <v>97</v>
      </c>
      <c r="F153" s="23" t="s">
        <v>48</v>
      </c>
      <c r="G153" s="28" t="s">
        <v>505</v>
      </c>
    </row>
    <row r="154" ht="53.25" customHeight="1">
      <c r="A154" s="27" t="s">
        <v>506</v>
      </c>
      <c r="B154" s="14" t="str">
        <f t="shared" si="1"/>
        <v>ES-CEDCS-ZARZA-PUBLICACIONES-C055-P002</v>
      </c>
      <c r="C154" s="21" t="str">
        <f t="shared" si="2"/>
        <v>C055-P002</v>
      </c>
      <c r="D154" s="28" t="s">
        <v>507</v>
      </c>
      <c r="E154" s="14" t="s">
        <v>55</v>
      </c>
      <c r="F154" s="23" t="s">
        <v>48</v>
      </c>
      <c r="G154" s="28" t="s">
        <v>508</v>
      </c>
    </row>
    <row r="155" ht="53.25" customHeight="1">
      <c r="A155" s="27" t="s">
        <v>509</v>
      </c>
      <c r="B155" s="14" t="str">
        <f t="shared" si="1"/>
        <v>ES-CEDCS-ZARZA-AUDIOVISUAL-C056</v>
      </c>
      <c r="C155" s="21" t="str">
        <f t="shared" si="2"/>
        <v>C056</v>
      </c>
      <c r="D155" s="28" t="s">
        <v>510</v>
      </c>
      <c r="E155" s="14" t="s">
        <v>55</v>
      </c>
      <c r="F155" s="23" t="s">
        <v>163</v>
      </c>
      <c r="G155" s="28" t="s">
        <v>511</v>
      </c>
    </row>
    <row r="156" ht="53.25" customHeight="1">
      <c r="A156" s="27" t="s">
        <v>512</v>
      </c>
      <c r="B156" s="14" t="str">
        <f t="shared" si="1"/>
        <v>ES-CEDCS-ZARZA-AUDIOVISUAL-C056-P001</v>
      </c>
      <c r="C156" s="21" t="str">
        <f t="shared" si="2"/>
        <v>C056-P001</v>
      </c>
      <c r="D156" s="28" t="s">
        <v>513</v>
      </c>
      <c r="E156" s="14" t="s">
        <v>55</v>
      </c>
      <c r="F156" s="23" t="s">
        <v>48</v>
      </c>
      <c r="G156" s="28" t="s">
        <v>514</v>
      </c>
    </row>
    <row r="157" ht="53.25" customHeight="1">
      <c r="A157" s="27" t="s">
        <v>515</v>
      </c>
      <c r="B157" s="14" t="str">
        <f t="shared" si="1"/>
        <v>ES-CEDCS-ZARZA-AUDIOVISUAL-C057</v>
      </c>
      <c r="C157" s="21" t="str">
        <f t="shared" si="2"/>
        <v>C057</v>
      </c>
      <c r="D157" s="28" t="s">
        <v>516</v>
      </c>
      <c r="E157" s="14" t="s">
        <v>55</v>
      </c>
      <c r="F157" s="23" t="s">
        <v>163</v>
      </c>
      <c r="G157" s="28" t="s">
        <v>517</v>
      </c>
    </row>
    <row r="158" ht="53.25" customHeight="1">
      <c r="A158" s="27" t="s">
        <v>518</v>
      </c>
      <c r="B158" s="14" t="str">
        <f t="shared" si="1"/>
        <v>ES-CEDCS-ZARZA-AUDIOVISUAL-C057-P001</v>
      </c>
      <c r="C158" s="21" t="str">
        <f t="shared" si="2"/>
        <v>C057-P001</v>
      </c>
      <c r="D158" s="28" t="s">
        <v>519</v>
      </c>
      <c r="E158" s="14" t="s">
        <v>55</v>
      </c>
      <c r="F158" s="23" t="s">
        <v>48</v>
      </c>
      <c r="G158" s="28" t="s">
        <v>520</v>
      </c>
    </row>
    <row r="159" ht="53.25" customHeight="1">
      <c r="A159" s="27" t="s">
        <v>521</v>
      </c>
      <c r="B159" s="14" t="str">
        <f t="shared" si="1"/>
        <v>ES-CEDCS-ZARZA-PERSONAL-C058</v>
      </c>
      <c r="C159" s="21" t="str">
        <f t="shared" si="2"/>
        <v>C058</v>
      </c>
      <c r="D159" s="28" t="s">
        <v>522</v>
      </c>
      <c r="E159" s="14" t="s">
        <v>55</v>
      </c>
      <c r="F159" s="23" t="s">
        <v>163</v>
      </c>
      <c r="G159" s="28" t="s">
        <v>523</v>
      </c>
    </row>
    <row r="160" ht="53.25" customHeight="1">
      <c r="A160" s="27" t="s">
        <v>524</v>
      </c>
      <c r="B160" s="14" t="str">
        <f t="shared" si="1"/>
        <v>ES-CEDCS-ZARZA-PERSONAL-C058-P001</v>
      </c>
      <c r="C160" s="21" t="str">
        <f t="shared" si="2"/>
        <v>C058-P001</v>
      </c>
      <c r="D160" s="28" t="s">
        <v>525</v>
      </c>
      <c r="E160" s="14" t="s">
        <v>55</v>
      </c>
      <c r="F160" s="23" t="s">
        <v>48</v>
      </c>
      <c r="G160" s="28" t="s">
        <v>526</v>
      </c>
    </row>
    <row r="161" ht="53.25" customHeight="1">
      <c r="A161" s="27" t="s">
        <v>527</v>
      </c>
      <c r="B161" s="14" t="str">
        <f t="shared" si="1"/>
        <v>ES-CEDCS-ZARZA-MILITANCIA-C059</v>
      </c>
      <c r="C161" s="21" t="str">
        <f t="shared" si="2"/>
        <v>C059</v>
      </c>
      <c r="D161" s="28" t="s">
        <v>528</v>
      </c>
      <c r="E161" s="14" t="s">
        <v>55</v>
      </c>
      <c r="F161" s="23" t="s">
        <v>163</v>
      </c>
      <c r="G161" s="28" t="s">
        <v>529</v>
      </c>
    </row>
    <row r="162" ht="53.25" customHeight="1">
      <c r="A162" s="27" t="s">
        <v>530</v>
      </c>
      <c r="B162" s="14" t="str">
        <f t="shared" si="1"/>
        <v>ES-CEDCS-ZARZA-MILITANCIA-C059-P001</v>
      </c>
      <c r="C162" s="21" t="str">
        <f t="shared" si="2"/>
        <v>C059-P001</v>
      </c>
      <c r="D162" s="28" t="s">
        <v>531</v>
      </c>
      <c r="E162" s="14" t="s">
        <v>55</v>
      </c>
      <c r="F162" s="23" t="s">
        <v>48</v>
      </c>
      <c r="G162" s="28" t="s">
        <v>532</v>
      </c>
    </row>
    <row r="163" ht="53.25" customHeight="1">
      <c r="A163" s="27" t="s">
        <v>533</v>
      </c>
      <c r="B163" s="14" t="str">
        <f t="shared" si="1"/>
        <v>ES-CEDCS-ZARZA-MILITANCIA-C060</v>
      </c>
      <c r="C163" s="21" t="str">
        <f t="shared" si="2"/>
        <v>C060</v>
      </c>
      <c r="D163" s="28" t="s">
        <v>534</v>
      </c>
      <c r="E163" s="14" t="s">
        <v>55</v>
      </c>
      <c r="F163" s="23" t="s">
        <v>163</v>
      </c>
      <c r="G163" s="28" t="s">
        <v>535</v>
      </c>
    </row>
    <row r="164" ht="53.25" customHeight="1">
      <c r="A164" s="27" t="s">
        <v>536</v>
      </c>
      <c r="B164" s="14" t="str">
        <f t="shared" si="1"/>
        <v>ES-CEDCS-ZARZA-MILITANCIA-C060-P001</v>
      </c>
      <c r="C164" s="21" t="str">
        <f t="shared" si="2"/>
        <v>C060-P001</v>
      </c>
      <c r="D164" s="28" t="s">
        <v>537</v>
      </c>
      <c r="E164" s="14" t="s">
        <v>55</v>
      </c>
      <c r="F164" s="23" t="s">
        <v>48</v>
      </c>
      <c r="G164" s="28" t="s">
        <v>538</v>
      </c>
    </row>
    <row r="165" ht="53.25" customHeight="1">
      <c r="A165" s="27" t="s">
        <v>539</v>
      </c>
      <c r="B165" s="14" t="str">
        <f t="shared" si="1"/>
        <v>ES-CEDCS-ZARZA-MILITANCIA-C061</v>
      </c>
      <c r="C165" s="21" t="str">
        <f t="shared" si="2"/>
        <v>C061</v>
      </c>
      <c r="D165" s="28" t="s">
        <v>540</v>
      </c>
      <c r="E165" s="14" t="s">
        <v>55</v>
      </c>
      <c r="F165" s="23" t="s">
        <v>163</v>
      </c>
      <c r="G165" s="28" t="s">
        <v>541</v>
      </c>
    </row>
    <row r="166" ht="53.25" customHeight="1">
      <c r="A166" s="27" t="s">
        <v>542</v>
      </c>
      <c r="B166" s="14" t="str">
        <f t="shared" si="1"/>
        <v>ES-CEDCS-ZARZA-MILITANCIA-C061-P001</v>
      </c>
      <c r="C166" s="21" t="str">
        <f t="shared" si="2"/>
        <v>C061-P001</v>
      </c>
      <c r="D166" s="28" t="s">
        <v>543</v>
      </c>
      <c r="E166" s="14" t="s">
        <v>55</v>
      </c>
      <c r="F166" s="23" t="s">
        <v>48</v>
      </c>
      <c r="G166" s="28" t="s">
        <v>544</v>
      </c>
    </row>
    <row r="167" ht="53.25" customHeight="1">
      <c r="A167" s="27" t="s">
        <v>545</v>
      </c>
      <c r="B167" s="14" t="str">
        <f t="shared" si="1"/>
        <v>ES-CEDCS-ZARZA-MILITANCIA-C062</v>
      </c>
      <c r="C167" s="21" t="str">
        <f t="shared" si="2"/>
        <v>C062</v>
      </c>
      <c r="D167" s="28" t="s">
        <v>546</v>
      </c>
      <c r="E167" s="14" t="s">
        <v>55</v>
      </c>
      <c r="F167" s="23" t="s">
        <v>163</v>
      </c>
      <c r="G167" s="28" t="s">
        <v>547</v>
      </c>
    </row>
    <row r="168" ht="53.25" customHeight="1">
      <c r="A168" s="27" t="s">
        <v>548</v>
      </c>
      <c r="B168" s="14" t="str">
        <f t="shared" si="1"/>
        <v>ES-CEDCS-ZARZA-MILITANCIA-C062-P001</v>
      </c>
      <c r="C168" s="21" t="str">
        <f t="shared" si="2"/>
        <v>C062-P001</v>
      </c>
      <c r="D168" s="28" t="s">
        <v>549</v>
      </c>
      <c r="E168" s="14" t="s">
        <v>55</v>
      </c>
      <c r="F168" s="23" t="s">
        <v>48</v>
      </c>
      <c r="G168" s="28" t="s">
        <v>550</v>
      </c>
    </row>
    <row r="169" ht="53.25" customHeight="1">
      <c r="A169" s="27" t="s">
        <v>551</v>
      </c>
      <c r="B169" s="14" t="str">
        <f t="shared" si="1"/>
        <v>ES-CEDCS-ZARZA-EXPOSICIONES-C063</v>
      </c>
      <c r="C169" s="21" t="str">
        <f t="shared" si="2"/>
        <v>C063</v>
      </c>
      <c r="D169" s="28" t="s">
        <v>552</v>
      </c>
      <c r="E169" s="14" t="s">
        <v>553</v>
      </c>
      <c r="F169" s="23" t="s">
        <v>501</v>
      </c>
      <c r="G169" s="28" t="s">
        <v>554</v>
      </c>
    </row>
    <row r="170" ht="53.25" customHeight="1">
      <c r="A170" s="27" t="s">
        <v>555</v>
      </c>
      <c r="B170" s="14" t="str">
        <f t="shared" si="1"/>
        <v>ES-CEDCS-ZARZA-EXPOSICIONES-C063-P001</v>
      </c>
      <c r="C170" s="21" t="str">
        <f t="shared" si="2"/>
        <v>C063-P001</v>
      </c>
      <c r="D170" s="28" t="s">
        <v>556</v>
      </c>
      <c r="E170" s="14" t="s">
        <v>553</v>
      </c>
      <c r="F170" s="23" t="s">
        <v>48</v>
      </c>
      <c r="G170" s="28" t="s">
        <v>557</v>
      </c>
    </row>
    <row r="171" ht="53.25" customHeight="1">
      <c r="A171" s="27" t="s">
        <v>558</v>
      </c>
      <c r="B171" s="14" t="str">
        <f t="shared" si="1"/>
        <v>ES-CEDCS-ZARZA-AUDIOVISUAL-C064</v>
      </c>
      <c r="C171" s="21" t="str">
        <f t="shared" si="2"/>
        <v>C064</v>
      </c>
      <c r="D171" s="28" t="s">
        <v>559</v>
      </c>
      <c r="E171" s="14" t="s">
        <v>55</v>
      </c>
      <c r="F171" s="23" t="s">
        <v>560</v>
      </c>
      <c r="G171" s="28" t="s">
        <v>561</v>
      </c>
    </row>
    <row r="172" ht="53.25" customHeight="1">
      <c r="A172" s="27" t="s">
        <v>562</v>
      </c>
      <c r="B172" s="14" t="str">
        <f t="shared" si="1"/>
        <v>ES-CEDCS-ZARZA-AUDIOVISUAL-C065</v>
      </c>
      <c r="C172" s="21" t="str">
        <f t="shared" si="2"/>
        <v>C065</v>
      </c>
      <c r="D172" s="28" t="s">
        <v>563</v>
      </c>
      <c r="E172" s="14" t="s">
        <v>55</v>
      </c>
      <c r="F172" s="23" t="s">
        <v>560</v>
      </c>
      <c r="G172" s="28" t="s">
        <v>564</v>
      </c>
    </row>
    <row r="173" ht="53.25" customHeight="1">
      <c r="A173" s="27" t="s">
        <v>565</v>
      </c>
      <c r="B173" s="14" t="str">
        <f t="shared" si="1"/>
        <v>ES-CEDCS-ZARZA-ARQUITECTURA-C066</v>
      </c>
      <c r="C173" s="21" t="str">
        <f t="shared" si="2"/>
        <v>C066</v>
      </c>
      <c r="D173" s="28" t="s">
        <v>566</v>
      </c>
      <c r="E173" s="14" t="s">
        <v>55</v>
      </c>
      <c r="F173" s="23" t="s">
        <v>560</v>
      </c>
      <c r="G173" s="28" t="s">
        <v>567</v>
      </c>
    </row>
    <row r="174" ht="53.25" customHeight="1">
      <c r="A174" s="27" t="s">
        <v>568</v>
      </c>
      <c r="B174" s="14" t="str">
        <f t="shared" si="1"/>
        <v>ES-CEDCS-ZARZA-AUDIOVISUAL-C067</v>
      </c>
      <c r="C174" s="21" t="str">
        <f t="shared" si="2"/>
        <v>C067</v>
      </c>
      <c r="D174" s="28" t="s">
        <v>569</v>
      </c>
      <c r="E174" s="14" t="s">
        <v>55</v>
      </c>
      <c r="F174" s="23" t="s">
        <v>560</v>
      </c>
      <c r="G174" s="28" t="s">
        <v>570</v>
      </c>
    </row>
    <row r="175" ht="53.25" customHeight="1">
      <c r="A175" s="27" t="s">
        <v>571</v>
      </c>
      <c r="B175" s="14" t="str">
        <f t="shared" si="1"/>
        <v>ES-CEDCS-ZARZA-AUDIOVISUAL-C068</v>
      </c>
      <c r="C175" s="21" t="str">
        <f t="shared" si="2"/>
        <v>C068</v>
      </c>
      <c r="D175" s="28" t="s">
        <v>572</v>
      </c>
      <c r="E175" s="14" t="s">
        <v>55</v>
      </c>
      <c r="F175" s="23" t="s">
        <v>573</v>
      </c>
      <c r="G175" s="28" t="s">
        <v>574</v>
      </c>
    </row>
    <row r="176" ht="53.25" customHeight="1">
      <c r="A176" s="27" t="s">
        <v>575</v>
      </c>
      <c r="B176" s="14" t="str">
        <f t="shared" si="1"/>
        <v>ES-CEDCS-ZARZA-AUDIOVISUAL-C068-P001</v>
      </c>
      <c r="C176" s="21" t="str">
        <f t="shared" si="2"/>
        <v>C068-P001</v>
      </c>
      <c r="D176" s="28" t="s">
        <v>576</v>
      </c>
      <c r="E176" s="14" t="s">
        <v>55</v>
      </c>
      <c r="F176" s="23" t="s">
        <v>48</v>
      </c>
      <c r="G176" s="28" t="s">
        <v>577</v>
      </c>
    </row>
    <row r="177" ht="53.25" customHeight="1">
      <c r="A177" s="27" t="s">
        <v>578</v>
      </c>
      <c r="B177" s="14" t="str">
        <f t="shared" si="1"/>
        <v>ES-CEDCS-ZARZA-AUDIOVISUAL-C069</v>
      </c>
      <c r="C177" s="21" t="str">
        <f t="shared" si="2"/>
        <v>C069</v>
      </c>
      <c r="D177" s="28" t="s">
        <v>579</v>
      </c>
      <c r="E177" s="14" t="s">
        <v>55</v>
      </c>
      <c r="F177" s="23" t="s">
        <v>560</v>
      </c>
      <c r="G177" s="28" t="s">
        <v>580</v>
      </c>
    </row>
    <row r="178" ht="53.25" customHeight="1">
      <c r="A178" s="27" t="s">
        <v>581</v>
      </c>
      <c r="B178" s="14" t="str">
        <f t="shared" si="1"/>
        <v>ES-CEDCS-ZARZA-AUDIOVISUAL-C070</v>
      </c>
      <c r="C178" s="21" t="str">
        <f t="shared" si="2"/>
        <v>C070</v>
      </c>
      <c r="D178" s="28" t="s">
        <v>582</v>
      </c>
      <c r="E178" s="14" t="s">
        <v>55</v>
      </c>
      <c r="F178" s="23" t="s">
        <v>560</v>
      </c>
      <c r="G178" s="28" t="s">
        <v>580</v>
      </c>
    </row>
    <row r="179" ht="53.25" customHeight="1">
      <c r="A179" s="27" t="s">
        <v>583</v>
      </c>
      <c r="B179" s="14" t="str">
        <f t="shared" si="1"/>
        <v>ES-CEDCS-ZARZA-AUDIOVISUAL-C071</v>
      </c>
      <c r="C179" s="21" t="str">
        <f t="shared" si="2"/>
        <v>C071</v>
      </c>
      <c r="D179" s="28" t="s">
        <v>584</v>
      </c>
      <c r="E179" s="14" t="s">
        <v>55</v>
      </c>
      <c r="F179" s="23" t="s">
        <v>585</v>
      </c>
      <c r="G179" s="28" t="s">
        <v>586</v>
      </c>
    </row>
    <row r="180" ht="53.25" customHeight="1">
      <c r="A180" s="27" t="s">
        <v>587</v>
      </c>
      <c r="B180" s="14" t="str">
        <f t="shared" si="1"/>
        <v>ES-CEDCS-ZARZA-AUDIOVISUAL-C072</v>
      </c>
      <c r="C180" s="21" t="str">
        <f t="shared" si="2"/>
        <v>C072</v>
      </c>
      <c r="D180" s="28" t="s">
        <v>588</v>
      </c>
      <c r="E180" s="14" t="s">
        <v>55</v>
      </c>
      <c r="F180" s="23" t="s">
        <v>589</v>
      </c>
      <c r="G180" s="28" t="s">
        <v>590</v>
      </c>
    </row>
    <row r="181" ht="53.25" customHeight="1">
      <c r="A181" s="27" t="s">
        <v>591</v>
      </c>
      <c r="B181" s="14" t="str">
        <f t="shared" si="1"/>
        <v>ES-CEDCS-ZARZA-AUDIOVISUAL-C073</v>
      </c>
      <c r="C181" s="21" t="str">
        <f t="shared" si="2"/>
        <v>C073</v>
      </c>
      <c r="D181" s="28" t="s">
        <v>592</v>
      </c>
      <c r="E181" s="14" t="s">
        <v>55</v>
      </c>
      <c r="F181" s="23" t="s">
        <v>589</v>
      </c>
      <c r="G181" s="28" t="s">
        <v>590</v>
      </c>
    </row>
    <row r="182" ht="53.25" customHeight="1">
      <c r="A182" s="27" t="s">
        <v>593</v>
      </c>
      <c r="B182" s="14" t="str">
        <f t="shared" si="1"/>
        <v>ES-CEDCS-ZARZA-AUDIOVISUAL-C074</v>
      </c>
      <c r="C182" s="21" t="str">
        <f t="shared" si="2"/>
        <v>C074</v>
      </c>
      <c r="D182" s="28" t="s">
        <v>594</v>
      </c>
      <c r="E182" s="14" t="s">
        <v>55</v>
      </c>
      <c r="F182" s="23" t="s">
        <v>589</v>
      </c>
      <c r="G182" s="28" t="s">
        <v>595</v>
      </c>
    </row>
    <row r="183" ht="53.25" customHeight="1">
      <c r="A183" s="27" t="s">
        <v>596</v>
      </c>
      <c r="B183" s="14" t="str">
        <f t="shared" si="1"/>
        <v>ES-CEDCS-ZARZA-AUDIOVISUAL-C075</v>
      </c>
      <c r="C183" s="21" t="str">
        <f t="shared" si="2"/>
        <v>C075</v>
      </c>
      <c r="D183" s="28" t="s">
        <v>597</v>
      </c>
      <c r="E183" s="14" t="s">
        <v>55</v>
      </c>
      <c r="F183" s="23" t="s">
        <v>598</v>
      </c>
      <c r="G183" s="28" t="s">
        <v>598</v>
      </c>
    </row>
    <row r="184" ht="53.25" customHeight="1">
      <c r="A184" s="27" t="s">
        <v>599</v>
      </c>
      <c r="B184" s="14" t="str">
        <f t="shared" si="1"/>
        <v>ES-CEDCS-ZARZA-AUDIOVISUAL-C076</v>
      </c>
      <c r="C184" s="21" t="str">
        <f t="shared" si="2"/>
        <v>C076</v>
      </c>
      <c r="D184" s="28" t="s">
        <v>600</v>
      </c>
      <c r="E184" s="14" t="s">
        <v>55</v>
      </c>
      <c r="F184" s="23" t="s">
        <v>598</v>
      </c>
      <c r="G184" s="28" t="s">
        <v>598</v>
      </c>
    </row>
    <row r="185" ht="53.25" customHeight="1">
      <c r="A185" s="27" t="s">
        <v>601</v>
      </c>
      <c r="B185" s="14" t="str">
        <f t="shared" si="1"/>
        <v>ES-CEDCS-ZARZA-AUDIOVISUAL-C077</v>
      </c>
      <c r="C185" s="21" t="str">
        <f t="shared" si="2"/>
        <v>C077</v>
      </c>
      <c r="D185" s="28" t="s">
        <v>602</v>
      </c>
      <c r="E185" s="14" t="s">
        <v>55</v>
      </c>
      <c r="F185" s="23" t="s">
        <v>598</v>
      </c>
      <c r="G185" s="28" t="s">
        <v>598</v>
      </c>
    </row>
    <row r="186" ht="53.25" customHeight="1">
      <c r="A186" s="27" t="s">
        <v>603</v>
      </c>
      <c r="B186" s="14" t="str">
        <f t="shared" si="1"/>
        <v>ES-CEDCS-ZARZA-AUDIOVISUAL-C078</v>
      </c>
      <c r="C186" s="21" t="str">
        <f t="shared" si="2"/>
        <v>C078</v>
      </c>
      <c r="D186" s="28" t="s">
        <v>604</v>
      </c>
      <c r="E186" s="14" t="s">
        <v>55</v>
      </c>
      <c r="F186" s="23" t="s">
        <v>598</v>
      </c>
      <c r="G186" s="28" t="s">
        <v>598</v>
      </c>
    </row>
    <row r="187" ht="53.25" customHeight="1">
      <c r="A187" s="27" t="s">
        <v>605</v>
      </c>
      <c r="B187" s="14" t="str">
        <f t="shared" si="1"/>
        <v>ES-CEDCS-ZARZA-AUDIOVISUAL-C079</v>
      </c>
      <c r="C187" s="21" t="str">
        <f t="shared" si="2"/>
        <v>C079</v>
      </c>
      <c r="D187" s="28" t="s">
        <v>606</v>
      </c>
      <c r="E187" s="14" t="s">
        <v>55</v>
      </c>
      <c r="F187" s="23" t="s">
        <v>598</v>
      </c>
      <c r="G187" s="28" t="s">
        <v>598</v>
      </c>
    </row>
    <row r="188" ht="53.25" customHeight="1">
      <c r="A188" s="27" t="s">
        <v>607</v>
      </c>
      <c r="B188" s="14" t="str">
        <f t="shared" si="1"/>
        <v>ES-CEDCS-ZARZA-AUDIOVISUAL-C080</v>
      </c>
      <c r="C188" s="21" t="str">
        <f t="shared" si="2"/>
        <v>C080</v>
      </c>
      <c r="D188" s="28" t="s">
        <v>608</v>
      </c>
      <c r="E188" s="14" t="s">
        <v>55</v>
      </c>
      <c r="F188" s="23" t="s">
        <v>598</v>
      </c>
      <c r="G188" s="28" t="s">
        <v>598</v>
      </c>
    </row>
    <row r="189" ht="53.25" customHeight="1">
      <c r="A189" s="27" t="s">
        <v>609</v>
      </c>
      <c r="B189" s="14" t="str">
        <f t="shared" si="1"/>
        <v>ES-CEDCS-ZARZA-AUDIOVISUAL-C081</v>
      </c>
      <c r="C189" s="21" t="str">
        <f t="shared" si="2"/>
        <v>C081</v>
      </c>
      <c r="D189" s="28" t="s">
        <v>610</v>
      </c>
      <c r="E189" s="14" t="s">
        <v>55</v>
      </c>
      <c r="F189" s="23" t="s">
        <v>598</v>
      </c>
      <c r="G189" s="28" t="s">
        <v>598</v>
      </c>
    </row>
    <row r="190" ht="53.25" customHeight="1">
      <c r="A190" s="27" t="s">
        <v>611</v>
      </c>
      <c r="B190" s="14" t="str">
        <f t="shared" si="1"/>
        <v>ES-CEDCS-ZARZA-ARQUITECTURA-C082</v>
      </c>
      <c r="C190" s="21" t="str">
        <f t="shared" si="2"/>
        <v>C082</v>
      </c>
      <c r="D190" s="28" t="s">
        <v>612</v>
      </c>
      <c r="E190" s="14" t="s">
        <v>55</v>
      </c>
      <c r="F190" s="23" t="s">
        <v>613</v>
      </c>
      <c r="G190" s="28" t="s">
        <v>614</v>
      </c>
    </row>
    <row r="191" ht="53.25" customHeight="1">
      <c r="A191" s="27" t="s">
        <v>615</v>
      </c>
      <c r="B191" s="14" t="str">
        <f t="shared" si="1"/>
        <v>ES-CEDCS-ZARZA-ARQUITECTURA-C083</v>
      </c>
      <c r="C191" s="21" t="str">
        <f t="shared" si="2"/>
        <v>C083</v>
      </c>
      <c r="D191" s="28" t="s">
        <v>616</v>
      </c>
      <c r="E191" s="14" t="s">
        <v>55</v>
      </c>
      <c r="F191" s="23" t="s">
        <v>90</v>
      </c>
      <c r="G191" s="28" t="s">
        <v>617</v>
      </c>
    </row>
    <row r="192" ht="53.25" customHeight="1">
      <c r="A192" s="27" t="s">
        <v>618</v>
      </c>
      <c r="B192" s="14" t="str">
        <f t="shared" si="1"/>
        <v>ES-CEDCS-ZARZA-ARQUITECTURA-C083-P001</v>
      </c>
      <c r="C192" s="21" t="str">
        <f t="shared" si="2"/>
        <v>C083-P001</v>
      </c>
      <c r="D192" s="28" t="s">
        <v>619</v>
      </c>
      <c r="E192" s="14" t="s">
        <v>55</v>
      </c>
      <c r="F192" s="23" t="s">
        <v>48</v>
      </c>
      <c r="G192" s="28" t="s">
        <v>620</v>
      </c>
    </row>
    <row r="193" ht="53.25" customHeight="1">
      <c r="A193" s="27" t="s">
        <v>621</v>
      </c>
      <c r="B193" s="14" t="str">
        <f t="shared" si="1"/>
        <v>ES-CEDCS-ZARZA-ARQUITECTURA-C083-P002</v>
      </c>
      <c r="C193" s="21" t="str">
        <f t="shared" si="2"/>
        <v>C083-P002</v>
      </c>
      <c r="D193" s="28" t="s">
        <v>622</v>
      </c>
      <c r="E193" s="14" t="s">
        <v>55</v>
      </c>
      <c r="F193" s="23" t="s">
        <v>48</v>
      </c>
      <c r="G193" s="28" t="s">
        <v>623</v>
      </c>
    </row>
    <row r="194" ht="53.25" customHeight="1">
      <c r="A194" s="27" t="s">
        <v>624</v>
      </c>
      <c r="B194" s="14" t="str">
        <f t="shared" si="1"/>
        <v>ES-CEDCS-ZARZA-AUDIOVISUAL-C084</v>
      </c>
      <c r="C194" s="21" t="str">
        <f t="shared" si="2"/>
        <v>C084</v>
      </c>
      <c r="D194" s="28" t="s">
        <v>625</v>
      </c>
      <c r="E194" s="14" t="s">
        <v>55</v>
      </c>
      <c r="F194" s="23" t="s">
        <v>163</v>
      </c>
      <c r="G194" s="28" t="s">
        <v>626</v>
      </c>
    </row>
    <row r="195" ht="53.25" customHeight="1">
      <c r="A195" s="27" t="s">
        <v>627</v>
      </c>
      <c r="B195" s="14" t="str">
        <f t="shared" si="1"/>
        <v>ES-CEDCS-ZARZA-AUDIOVISUAL-C084-P001</v>
      </c>
      <c r="C195" s="21" t="str">
        <f t="shared" si="2"/>
        <v>C084-P001</v>
      </c>
      <c r="D195" s="28" t="s">
        <v>628</v>
      </c>
      <c r="E195" s="14" t="s">
        <v>55</v>
      </c>
      <c r="F195" s="23" t="s">
        <v>48</v>
      </c>
      <c r="G195" s="28" t="s">
        <v>629</v>
      </c>
    </row>
    <row r="196" ht="53.25" customHeight="1">
      <c r="A196" s="27" t="s">
        <v>630</v>
      </c>
      <c r="B196" s="14" t="str">
        <f t="shared" si="1"/>
        <v>ES-CEDCS-ZARZA-AUDIOVISUAL-C085</v>
      </c>
      <c r="C196" s="21" t="str">
        <f t="shared" si="2"/>
        <v>C085</v>
      </c>
      <c r="D196" s="28" t="s">
        <v>631</v>
      </c>
      <c r="E196" s="14" t="s">
        <v>55</v>
      </c>
      <c r="F196" s="23" t="s">
        <v>560</v>
      </c>
      <c r="G196" s="28" t="s">
        <v>632</v>
      </c>
    </row>
    <row r="197" ht="53.25" customHeight="1">
      <c r="A197" s="27" t="s">
        <v>633</v>
      </c>
      <c r="B197" s="14" t="str">
        <f t="shared" si="1"/>
        <v>ES-CEDCS-ZARZA-AUDIOVISUAL-C086</v>
      </c>
      <c r="C197" s="21" t="str">
        <f t="shared" si="2"/>
        <v>C086</v>
      </c>
      <c r="D197" s="28" t="s">
        <v>634</v>
      </c>
      <c r="E197" s="14" t="s">
        <v>55</v>
      </c>
      <c r="F197" s="23" t="s">
        <v>560</v>
      </c>
      <c r="G197" s="28" t="s">
        <v>635</v>
      </c>
    </row>
    <row r="198" ht="53.25" customHeight="1">
      <c r="A198" s="27" t="s">
        <v>636</v>
      </c>
      <c r="B198" s="14" t="str">
        <f t="shared" si="1"/>
        <v>ES-CEDCS-ZARZA-AUDIOVISUAL-C087</v>
      </c>
      <c r="C198" s="21" t="str">
        <f t="shared" si="2"/>
        <v>C087</v>
      </c>
      <c r="D198" s="28" t="s">
        <v>637</v>
      </c>
      <c r="E198" s="14" t="s">
        <v>55</v>
      </c>
      <c r="F198" s="23" t="s">
        <v>560</v>
      </c>
      <c r="G198" s="28" t="s">
        <v>638</v>
      </c>
    </row>
    <row r="199" ht="53.25" customHeight="1">
      <c r="A199" s="27" t="s">
        <v>639</v>
      </c>
      <c r="B199" s="14" t="str">
        <f t="shared" si="1"/>
        <v>ES-CEDCS-ZARZA-AUDIOVISUAL-C088</v>
      </c>
      <c r="C199" s="21" t="str">
        <f t="shared" si="2"/>
        <v>C088</v>
      </c>
      <c r="D199" s="28" t="s">
        <v>640</v>
      </c>
      <c r="E199" s="14" t="s">
        <v>55</v>
      </c>
      <c r="F199" s="23" t="s">
        <v>560</v>
      </c>
      <c r="G199" s="28" t="s">
        <v>641</v>
      </c>
    </row>
    <row r="200" ht="53.25" customHeight="1">
      <c r="A200" s="27" t="s">
        <v>642</v>
      </c>
      <c r="B200" s="14" t="str">
        <f t="shared" si="1"/>
        <v>ES-CEDCS-ZARZA-AUDIOVISUAL-C089</v>
      </c>
      <c r="C200" s="21" t="str">
        <f t="shared" si="2"/>
        <v>C089</v>
      </c>
      <c r="D200" s="28" t="s">
        <v>643</v>
      </c>
      <c r="E200" s="14" t="s">
        <v>55</v>
      </c>
      <c r="F200" s="23" t="s">
        <v>644</v>
      </c>
      <c r="G200" s="28" t="s">
        <v>645</v>
      </c>
    </row>
    <row r="201" ht="53.25" customHeight="1">
      <c r="A201" s="27" t="s">
        <v>646</v>
      </c>
      <c r="B201" s="14" t="str">
        <f t="shared" si="1"/>
        <v>ES-CEDCS-ZARZA-AUDIOVISUAL-C090</v>
      </c>
      <c r="C201" s="21" t="str">
        <f t="shared" si="2"/>
        <v>C090</v>
      </c>
      <c r="D201" s="28" t="s">
        <v>647</v>
      </c>
      <c r="E201" s="14" t="s">
        <v>55</v>
      </c>
      <c r="F201" s="23" t="s">
        <v>560</v>
      </c>
      <c r="G201" s="28" t="s">
        <v>648</v>
      </c>
    </row>
    <row r="202" ht="53.25" customHeight="1">
      <c r="A202" s="27" t="s">
        <v>649</v>
      </c>
      <c r="B202" s="14" t="str">
        <f t="shared" si="1"/>
        <v>ES-CEDCS-ZARZA-AUDIOVISUAL-C091</v>
      </c>
      <c r="C202" s="21" t="str">
        <f t="shared" si="2"/>
        <v>C091</v>
      </c>
      <c r="D202" s="28" t="s">
        <v>650</v>
      </c>
      <c r="E202" s="14" t="s">
        <v>55</v>
      </c>
      <c r="F202" s="23" t="s">
        <v>560</v>
      </c>
      <c r="G202" s="28"/>
    </row>
    <row r="203" ht="53.25" customHeight="1">
      <c r="A203" s="27" t="s">
        <v>651</v>
      </c>
      <c r="B203" s="14" t="str">
        <f t="shared" si="1"/>
        <v>ES-CEDCS-ZARZA-AUDIOVISUAL-C092</v>
      </c>
      <c r="C203" s="21" t="str">
        <f t="shared" si="2"/>
        <v>C092</v>
      </c>
      <c r="D203" s="28" t="s">
        <v>652</v>
      </c>
      <c r="E203" s="14" t="s">
        <v>55</v>
      </c>
      <c r="F203" s="23" t="s">
        <v>653</v>
      </c>
      <c r="G203" s="28" t="s">
        <v>654</v>
      </c>
    </row>
    <row r="204" ht="53.25" customHeight="1">
      <c r="A204" s="27" t="s">
        <v>655</v>
      </c>
      <c r="B204" s="14" t="str">
        <f t="shared" si="1"/>
        <v>ES-CEDCS-ZARZA-AUDIOVISUAL-C093</v>
      </c>
      <c r="C204" s="21" t="str">
        <f t="shared" si="2"/>
        <v>C093</v>
      </c>
      <c r="D204" s="28" t="s">
        <v>656</v>
      </c>
      <c r="E204" s="14" t="s">
        <v>55</v>
      </c>
      <c r="F204" s="23" t="s">
        <v>501</v>
      </c>
      <c r="G204" s="28" t="s">
        <v>657</v>
      </c>
    </row>
    <row r="205" ht="53.25" customHeight="1">
      <c r="A205" s="27" t="s">
        <v>658</v>
      </c>
      <c r="B205" s="14" t="str">
        <f t="shared" si="1"/>
        <v>ES-CEDCS-ZARZA-AUDIOVISUAL-C093-P001</v>
      </c>
      <c r="C205" s="21" t="str">
        <f t="shared" si="2"/>
        <v>C093-P001</v>
      </c>
      <c r="D205" s="28" t="s">
        <v>659</v>
      </c>
      <c r="E205" s="14" t="s">
        <v>55</v>
      </c>
      <c r="F205" s="23" t="s">
        <v>48</v>
      </c>
      <c r="G205" s="28" t="s">
        <v>660</v>
      </c>
    </row>
    <row r="206" ht="53.25" customHeight="1">
      <c r="A206" s="27" t="s">
        <v>661</v>
      </c>
      <c r="B206" s="14" t="str">
        <f t="shared" si="1"/>
        <v>ES-CEDCS-ZARZA-AUDIOVISUAL-C093-P002</v>
      </c>
      <c r="C206" s="21" t="str">
        <f t="shared" si="2"/>
        <v>C093-P002</v>
      </c>
      <c r="D206" s="28" t="s">
        <v>662</v>
      </c>
      <c r="E206" s="14" t="s">
        <v>55</v>
      </c>
      <c r="F206" s="23" t="s">
        <v>48</v>
      </c>
      <c r="G206" s="28" t="s">
        <v>663</v>
      </c>
    </row>
    <row r="207" ht="53.25" customHeight="1">
      <c r="A207" s="27" t="s">
        <v>664</v>
      </c>
      <c r="B207" s="14" t="str">
        <f t="shared" si="1"/>
        <v>ES-CEDCS-ZARZA-ARQUITECTURA-C094</v>
      </c>
      <c r="C207" s="21" t="str">
        <f t="shared" si="2"/>
        <v>C094</v>
      </c>
      <c r="D207" s="28" t="s">
        <v>665</v>
      </c>
      <c r="E207" s="14" t="s">
        <v>55</v>
      </c>
      <c r="F207" s="23" t="s">
        <v>501</v>
      </c>
      <c r="G207" s="28" t="s">
        <v>666</v>
      </c>
    </row>
    <row r="208" ht="53.25" customHeight="1">
      <c r="A208" s="27" t="s">
        <v>667</v>
      </c>
      <c r="B208" s="14" t="str">
        <f t="shared" si="1"/>
        <v>ES-CEDCS-ZARZA-ARQUITECTURA-C094-P001</v>
      </c>
      <c r="C208" s="21" t="str">
        <f t="shared" si="2"/>
        <v>C094-P001</v>
      </c>
      <c r="D208" s="28" t="s">
        <v>668</v>
      </c>
      <c r="E208" s="14" t="s">
        <v>55</v>
      </c>
      <c r="F208" s="23" t="s">
        <v>48</v>
      </c>
      <c r="G208" s="28" t="s">
        <v>669</v>
      </c>
    </row>
    <row r="209" ht="53.25" customHeight="1">
      <c r="A209" s="27" t="s">
        <v>670</v>
      </c>
      <c r="B209" s="14" t="str">
        <f t="shared" si="1"/>
        <v>ES-CEDCS-ZARZA-ARQUITECTURA-C094-P002</v>
      </c>
      <c r="C209" s="21" t="str">
        <f t="shared" si="2"/>
        <v>C094-P002</v>
      </c>
      <c r="D209" s="28" t="s">
        <v>671</v>
      </c>
      <c r="E209" s="14" t="s">
        <v>55</v>
      </c>
      <c r="F209" s="23" t="s">
        <v>48</v>
      </c>
      <c r="G209" s="28" t="s">
        <v>672</v>
      </c>
    </row>
    <row r="210" ht="53.25" customHeight="1">
      <c r="A210" s="27" t="s">
        <v>673</v>
      </c>
      <c r="B210" s="14" t="str">
        <f t="shared" si="1"/>
        <v>ES-CEDCS-ZARZA-ARQUITECTURA-C095</v>
      </c>
      <c r="C210" s="21" t="str">
        <f t="shared" si="2"/>
        <v>C095</v>
      </c>
      <c r="D210" s="28" t="s">
        <v>674</v>
      </c>
      <c r="E210" s="14" t="s">
        <v>55</v>
      </c>
      <c r="F210" s="23" t="s">
        <v>501</v>
      </c>
      <c r="G210" s="28" t="s">
        <v>675</v>
      </c>
    </row>
    <row r="211" ht="53.25" customHeight="1">
      <c r="A211" s="27" t="s">
        <v>676</v>
      </c>
      <c r="B211" s="14" t="str">
        <f t="shared" si="1"/>
        <v>ES-CEDCS-ZARZA-ARQUITECTURA-C095-P001</v>
      </c>
      <c r="C211" s="21" t="str">
        <f t="shared" si="2"/>
        <v>C095-P001</v>
      </c>
      <c r="D211" s="28" t="s">
        <v>677</v>
      </c>
      <c r="E211" s="14" t="s">
        <v>55</v>
      </c>
      <c r="F211" s="23" t="s">
        <v>48</v>
      </c>
      <c r="G211" s="28" t="s">
        <v>678</v>
      </c>
    </row>
    <row r="212" ht="53.25" customHeight="1">
      <c r="A212" s="27" t="s">
        <v>679</v>
      </c>
      <c r="B212" s="14" t="str">
        <f t="shared" si="1"/>
        <v>ES-CEDCS-ZARZA-ARQUITECTURA-C095-P002</v>
      </c>
      <c r="C212" s="21" t="str">
        <f t="shared" si="2"/>
        <v>C095-P002</v>
      </c>
      <c r="D212" s="28" t="s">
        <v>680</v>
      </c>
      <c r="E212" s="14" t="s">
        <v>55</v>
      </c>
      <c r="F212" s="23" t="s">
        <v>48</v>
      </c>
      <c r="G212" s="28" t="s">
        <v>678</v>
      </c>
    </row>
    <row r="213" ht="53.25" customHeight="1">
      <c r="A213" s="27" t="s">
        <v>681</v>
      </c>
      <c r="B213" s="14" t="str">
        <f t="shared" si="1"/>
        <v>ES-CEDCS-ZARZA-AUDIOVISUAL-C096</v>
      </c>
      <c r="C213" s="21" t="str">
        <f t="shared" si="2"/>
        <v>C096</v>
      </c>
      <c r="D213" s="28" t="s">
        <v>682</v>
      </c>
      <c r="E213" s="14" t="s">
        <v>55</v>
      </c>
      <c r="F213" s="23" t="s">
        <v>501</v>
      </c>
      <c r="G213" s="28" t="s">
        <v>683</v>
      </c>
    </row>
    <row r="214" ht="53.25" customHeight="1">
      <c r="A214" s="27" t="s">
        <v>684</v>
      </c>
      <c r="B214" s="14" t="str">
        <f t="shared" si="1"/>
        <v>ES-CEDCS-ZARZA-AUDIOVISUAL-C096-P001</v>
      </c>
      <c r="C214" s="21" t="str">
        <f t="shared" si="2"/>
        <v>C096-P001</v>
      </c>
      <c r="D214" s="28" t="s">
        <v>685</v>
      </c>
      <c r="E214" s="14" t="s">
        <v>55</v>
      </c>
      <c r="F214" s="23" t="s">
        <v>48</v>
      </c>
      <c r="G214" s="28" t="s">
        <v>686</v>
      </c>
    </row>
    <row r="215" ht="53.25" customHeight="1">
      <c r="A215" s="27" t="s">
        <v>687</v>
      </c>
      <c r="B215" s="14" t="str">
        <f t="shared" si="1"/>
        <v>ES-CEDCS-ZARZA-AUDIOVISUAL-C096-P002</v>
      </c>
      <c r="C215" s="21" t="str">
        <f t="shared" si="2"/>
        <v>C096-P002</v>
      </c>
      <c r="D215" s="28" t="s">
        <v>688</v>
      </c>
      <c r="E215" s="14" t="s">
        <v>55</v>
      </c>
      <c r="F215" s="23" t="s">
        <v>48</v>
      </c>
      <c r="G215" s="28" t="s">
        <v>689</v>
      </c>
    </row>
    <row r="216" ht="53.25" customHeight="1">
      <c r="A216" s="27"/>
      <c r="B216" s="14" t="str">
        <f t="shared" si="1"/>
        <v>ES-CEDCS-ZARZA-</v>
      </c>
      <c r="C216" s="21" t="str">
        <f t="shared" si="2"/>
        <v>#VALUE!</v>
      </c>
      <c r="D216" s="28"/>
      <c r="E216" s="14"/>
      <c r="F216" s="23"/>
      <c r="G216" s="28"/>
    </row>
    <row r="217" ht="53.25" customHeight="1">
      <c r="A217" s="27"/>
      <c r="B217" s="14" t="str">
        <f t="shared" si="1"/>
        <v>ES-CEDCS-ZARZA-</v>
      </c>
      <c r="C217" s="21" t="str">
        <f t="shared" si="2"/>
        <v>#VALUE!</v>
      </c>
      <c r="D217" s="28"/>
      <c r="E217" s="14"/>
      <c r="F217" s="23"/>
      <c r="G217" s="28"/>
    </row>
    <row r="218" ht="53.25" customHeight="1">
      <c r="A218" s="27"/>
      <c r="B218" s="14" t="str">
        <f t="shared" si="1"/>
        <v>ES-CEDCS-ZARZA-</v>
      </c>
      <c r="C218" s="21" t="str">
        <f t="shared" si="2"/>
        <v>#VALUE!</v>
      </c>
      <c r="D218" s="28"/>
      <c r="E218" s="14"/>
      <c r="F218" s="23"/>
      <c r="G218" s="28"/>
    </row>
    <row r="219" ht="53.25" customHeight="1">
      <c r="A219" s="27"/>
      <c r="B219" s="14" t="str">
        <f t="shared" si="1"/>
        <v>ES-CEDCS-ZARZA-</v>
      </c>
      <c r="C219" s="21" t="str">
        <f t="shared" si="2"/>
        <v>#VALUE!</v>
      </c>
      <c r="D219" s="28"/>
      <c r="E219" s="14"/>
      <c r="F219" s="23"/>
      <c r="G219" s="28"/>
    </row>
    <row r="220" ht="53.25" customHeight="1">
      <c r="A220" s="27"/>
      <c r="B220" s="14" t="str">
        <f t="shared" si="1"/>
        <v>ES-CEDCS-ZARZA-</v>
      </c>
      <c r="C220" s="21" t="str">
        <f t="shared" si="2"/>
        <v>#VALUE!</v>
      </c>
      <c r="D220" s="28"/>
      <c r="E220" s="14"/>
      <c r="F220" s="23"/>
      <c r="G220" s="28"/>
    </row>
    <row r="221" ht="53.25" customHeight="1">
      <c r="A221" s="27"/>
      <c r="B221" s="14" t="str">
        <f t="shared" si="1"/>
        <v>ES-CEDCS-ZARZA-</v>
      </c>
      <c r="C221" s="21" t="str">
        <f t="shared" si="2"/>
        <v>#VALUE!</v>
      </c>
      <c r="D221" s="28"/>
      <c r="E221" s="14"/>
      <c r="F221" s="23"/>
      <c r="G221" s="28"/>
    </row>
    <row r="222" ht="53.25" customHeight="1">
      <c r="A222" s="27"/>
      <c r="B222" s="14" t="str">
        <f t="shared" si="1"/>
        <v>ES-CEDCS-ZARZA-</v>
      </c>
      <c r="C222" s="21" t="str">
        <f t="shared" si="2"/>
        <v>#VALUE!</v>
      </c>
      <c r="D222" s="28"/>
      <c r="E222" s="14"/>
      <c r="F222" s="23"/>
      <c r="G222" s="28"/>
    </row>
    <row r="223" ht="53.25" customHeight="1">
      <c r="A223" s="27"/>
      <c r="B223" s="14" t="str">
        <f t="shared" si="1"/>
        <v>ES-CEDCS-ZARZA-</v>
      </c>
      <c r="C223" s="21" t="str">
        <f t="shared" si="2"/>
        <v>#VALUE!</v>
      </c>
      <c r="D223" s="28"/>
      <c r="E223" s="14"/>
      <c r="F223" s="23"/>
      <c r="G223" s="28"/>
    </row>
    <row r="224" ht="53.25" customHeight="1">
      <c r="A224" s="27"/>
      <c r="B224" s="14" t="str">
        <f t="shared" si="1"/>
        <v>ES-CEDCS-ZARZA-</v>
      </c>
      <c r="C224" s="21" t="str">
        <f t="shared" si="2"/>
        <v>#VALUE!</v>
      </c>
      <c r="D224" s="28"/>
      <c r="E224" s="14"/>
      <c r="F224" s="23"/>
      <c r="G224" s="28"/>
    </row>
    <row r="225" ht="53.25" customHeight="1">
      <c r="A225" s="27"/>
      <c r="B225" s="14" t="str">
        <f t="shared" si="1"/>
        <v>ES-CEDCS-ZARZA-</v>
      </c>
      <c r="C225" s="21" t="str">
        <f t="shared" si="2"/>
        <v>#VALUE!</v>
      </c>
      <c r="D225" s="28"/>
      <c r="E225" s="14"/>
      <c r="F225" s="23"/>
      <c r="G225" s="28"/>
    </row>
    <row r="226" ht="53.25" customHeight="1">
      <c r="A226" s="27"/>
      <c r="B226" s="14" t="str">
        <f t="shared" si="1"/>
        <v>ES-CEDCS-ZARZA-</v>
      </c>
      <c r="C226" s="21" t="str">
        <f t="shared" si="2"/>
        <v>#VALUE!</v>
      </c>
      <c r="D226" s="28"/>
      <c r="E226" s="14"/>
      <c r="F226" s="23"/>
      <c r="G226" s="28"/>
    </row>
    <row r="227" ht="53.25" customHeight="1">
      <c r="A227" s="27"/>
      <c r="B227" s="14" t="str">
        <f t="shared" si="1"/>
        <v>ES-CEDCS-ZARZA-</v>
      </c>
      <c r="C227" s="21" t="str">
        <f t="shared" si="2"/>
        <v>#VALUE!</v>
      </c>
      <c r="D227" s="28"/>
      <c r="E227" s="14"/>
      <c r="F227" s="23"/>
      <c r="G227" s="28"/>
    </row>
    <row r="228" ht="53.25" customHeight="1">
      <c r="A228" s="27"/>
      <c r="B228" s="14" t="str">
        <f t="shared" si="1"/>
        <v>ES-CEDCS-ZARZA-</v>
      </c>
      <c r="C228" s="21" t="str">
        <f t="shared" si="2"/>
        <v>#VALUE!</v>
      </c>
      <c r="D228" s="28"/>
      <c r="E228" s="14"/>
      <c r="F228" s="23"/>
      <c r="G228" s="28"/>
    </row>
    <row r="229" ht="53.25" customHeight="1">
      <c r="A229" s="27"/>
      <c r="B229" s="14" t="str">
        <f t="shared" si="1"/>
        <v>ES-CEDCS-ZARZA-</v>
      </c>
      <c r="C229" s="21" t="str">
        <f t="shared" si="2"/>
        <v>#VALUE!</v>
      </c>
      <c r="D229" s="28"/>
      <c r="E229" s="14"/>
      <c r="F229" s="23"/>
      <c r="G229" s="28"/>
    </row>
    <row r="230" ht="53.25" customHeight="1">
      <c r="A230" s="27"/>
      <c r="B230" s="14" t="str">
        <f t="shared" si="1"/>
        <v>ES-CEDCS-ZARZA-</v>
      </c>
      <c r="C230" s="21" t="str">
        <f t="shared" si="2"/>
        <v>#VALUE!</v>
      </c>
      <c r="D230" s="28"/>
      <c r="E230" s="14"/>
      <c r="F230" s="23"/>
      <c r="G230" s="28"/>
    </row>
    <row r="231" ht="53.25" customHeight="1">
      <c r="A231" s="27"/>
      <c r="B231" s="14" t="str">
        <f t="shared" si="1"/>
        <v>ES-CEDCS-ZARZA-</v>
      </c>
      <c r="C231" s="21" t="str">
        <f t="shared" si="2"/>
        <v>#VALUE!</v>
      </c>
      <c r="D231" s="28"/>
      <c r="E231" s="14"/>
      <c r="F231" s="23"/>
      <c r="G231" s="28"/>
    </row>
    <row r="232" ht="53.25" customHeight="1">
      <c r="A232" s="27"/>
      <c r="B232" s="14" t="str">
        <f t="shared" si="1"/>
        <v>ES-CEDCS-ZARZA-</v>
      </c>
      <c r="C232" s="21" t="str">
        <f t="shared" si="2"/>
        <v>#VALUE!</v>
      </c>
      <c r="D232" s="28"/>
      <c r="E232" s="14"/>
      <c r="F232" s="23"/>
      <c r="G232" s="28"/>
    </row>
    <row r="233" ht="53.25" customHeight="1">
      <c r="A233" s="27"/>
      <c r="B233" s="14" t="str">
        <f t="shared" si="1"/>
        <v>ES-CEDCS-ZARZA-</v>
      </c>
      <c r="C233" s="21" t="str">
        <f t="shared" si="2"/>
        <v>#VALUE!</v>
      </c>
      <c r="D233" s="28"/>
      <c r="E233" s="14"/>
      <c r="F233" s="23"/>
      <c r="G233" s="28"/>
    </row>
    <row r="234" ht="53.25" customHeight="1">
      <c r="A234" s="27"/>
      <c r="B234" s="14" t="str">
        <f t="shared" si="1"/>
        <v>ES-CEDCS-ZARZA-</v>
      </c>
      <c r="C234" s="21" t="str">
        <f t="shared" si="2"/>
        <v>#VALUE!</v>
      </c>
      <c r="D234" s="28"/>
      <c r="E234" s="14"/>
      <c r="F234" s="23"/>
      <c r="G234" s="28"/>
    </row>
    <row r="235" ht="53.25" customHeight="1">
      <c r="A235" s="27"/>
      <c r="B235" s="14" t="str">
        <f t="shared" si="1"/>
        <v>ES-CEDCS-ZARZA-</v>
      </c>
      <c r="C235" s="21" t="str">
        <f t="shared" si="2"/>
        <v>#VALUE!</v>
      </c>
      <c r="D235" s="28"/>
      <c r="E235" s="14"/>
      <c r="F235" s="23"/>
      <c r="G235" s="28"/>
    </row>
    <row r="236" ht="53.25" customHeight="1">
      <c r="A236" s="27"/>
      <c r="B236" s="14" t="str">
        <f t="shared" si="1"/>
        <v>ES-CEDCS-ZARZA-</v>
      </c>
      <c r="C236" s="21" t="str">
        <f t="shared" si="2"/>
        <v>#VALUE!</v>
      </c>
      <c r="D236" s="28"/>
      <c r="E236" s="14"/>
      <c r="F236" s="23"/>
      <c r="G236" s="28"/>
    </row>
    <row r="237" ht="53.25" customHeight="1">
      <c r="A237" s="27"/>
      <c r="B237" s="14" t="str">
        <f t="shared" si="1"/>
        <v>ES-CEDCS-ZARZA-</v>
      </c>
      <c r="C237" s="21" t="str">
        <f t="shared" si="2"/>
        <v>#VALUE!</v>
      </c>
      <c r="D237" s="28"/>
      <c r="E237" s="14"/>
      <c r="F237" s="23"/>
      <c r="G237" s="28"/>
    </row>
    <row r="238" ht="53.25" customHeight="1">
      <c r="A238" s="27"/>
      <c r="B238" s="14" t="str">
        <f t="shared" si="1"/>
        <v>ES-CEDCS-ZARZA-</v>
      </c>
      <c r="C238" s="21" t="str">
        <f t="shared" si="2"/>
        <v>#VALUE!</v>
      </c>
      <c r="D238" s="28"/>
      <c r="E238" s="14"/>
      <c r="F238" s="23"/>
      <c r="G238" s="28"/>
    </row>
    <row r="239" ht="53.25" customHeight="1">
      <c r="A239" s="27"/>
      <c r="B239" s="14" t="str">
        <f t="shared" si="1"/>
        <v>ES-CEDCS-ZARZA-</v>
      </c>
      <c r="C239" s="21" t="str">
        <f t="shared" si="2"/>
        <v>#VALUE!</v>
      </c>
      <c r="D239" s="28"/>
      <c r="E239" s="14"/>
      <c r="F239" s="23"/>
      <c r="G239" s="28"/>
    </row>
    <row r="240" ht="53.25" customHeight="1">
      <c r="A240" s="27"/>
      <c r="B240" s="14" t="str">
        <f t="shared" si="1"/>
        <v>ES-CEDCS-ZARZA-</v>
      </c>
      <c r="C240" s="21" t="str">
        <f t="shared" si="2"/>
        <v>#VALUE!</v>
      </c>
      <c r="D240" s="28"/>
      <c r="E240" s="14"/>
      <c r="F240" s="23"/>
      <c r="G240" s="28"/>
    </row>
    <row r="241" ht="53.25" customHeight="1">
      <c r="A241" s="27"/>
      <c r="B241" s="14" t="str">
        <f t="shared" si="1"/>
        <v>ES-CEDCS-ZARZA-</v>
      </c>
      <c r="C241" s="21" t="str">
        <f t="shared" si="2"/>
        <v>#VALUE!</v>
      </c>
      <c r="D241" s="28"/>
      <c r="E241" s="14"/>
      <c r="F241" s="23"/>
      <c r="G241" s="28"/>
    </row>
    <row r="242" ht="53.25" customHeight="1">
      <c r="A242" s="27"/>
      <c r="B242" s="14" t="str">
        <f t="shared" si="1"/>
        <v>ES-CEDCS-ZARZA-</v>
      </c>
      <c r="C242" s="21" t="str">
        <f t="shared" si="2"/>
        <v>#VALUE!</v>
      </c>
      <c r="D242" s="28"/>
      <c r="E242" s="14"/>
      <c r="F242" s="23"/>
      <c r="G242" s="28"/>
    </row>
    <row r="243" ht="53.25" customHeight="1">
      <c r="A243" s="27"/>
      <c r="B243" s="14" t="str">
        <f t="shared" si="1"/>
        <v>ES-CEDCS-ZARZA-</v>
      </c>
      <c r="C243" s="21" t="str">
        <f t="shared" si="2"/>
        <v>#VALUE!</v>
      </c>
      <c r="D243" s="28"/>
      <c r="E243" s="14"/>
      <c r="F243" s="23"/>
      <c r="G243" s="28"/>
    </row>
    <row r="244" ht="53.25" customHeight="1">
      <c r="A244" s="27"/>
      <c r="B244" s="14" t="str">
        <f t="shared" si="1"/>
        <v>ES-CEDCS-ZARZA-</v>
      </c>
      <c r="C244" s="21" t="str">
        <f t="shared" si="2"/>
        <v>#VALUE!</v>
      </c>
      <c r="D244" s="28"/>
      <c r="E244" s="14"/>
      <c r="F244" s="23"/>
      <c r="G244" s="28"/>
    </row>
    <row r="245" ht="53.25" customHeight="1">
      <c r="A245" s="27"/>
      <c r="B245" s="14" t="str">
        <f t="shared" si="1"/>
        <v>ES-CEDCS-ZARZA-</v>
      </c>
      <c r="C245" s="21" t="str">
        <f t="shared" si="2"/>
        <v>#VALUE!</v>
      </c>
      <c r="D245" s="28"/>
      <c r="E245" s="14"/>
      <c r="F245" s="23"/>
      <c r="G245" s="28"/>
    </row>
    <row r="246" ht="53.25" customHeight="1">
      <c r="A246" s="27"/>
      <c r="B246" s="14" t="str">
        <f t="shared" si="1"/>
        <v>ES-CEDCS-ZARZA-</v>
      </c>
      <c r="C246" s="21" t="str">
        <f t="shared" si="2"/>
        <v>#VALUE!</v>
      </c>
      <c r="D246" s="28"/>
      <c r="E246" s="14"/>
      <c r="F246" s="23"/>
      <c r="G246" s="28"/>
    </row>
    <row r="247" ht="53.25" customHeight="1">
      <c r="A247" s="27"/>
      <c r="B247" s="14" t="str">
        <f t="shared" si="1"/>
        <v>ES-CEDCS-ZARZA-</v>
      </c>
      <c r="C247" s="21" t="str">
        <f t="shared" si="2"/>
        <v>#VALUE!</v>
      </c>
      <c r="D247" s="28"/>
      <c r="E247" s="14"/>
      <c r="F247" s="23"/>
      <c r="G247" s="28"/>
    </row>
    <row r="248" ht="53.25" customHeight="1">
      <c r="A248" s="27"/>
      <c r="B248" s="14" t="str">
        <f t="shared" si="1"/>
        <v>ES-CEDCS-ZARZA-</v>
      </c>
      <c r="C248" s="21" t="str">
        <f t="shared" si="2"/>
        <v>#VALUE!</v>
      </c>
      <c r="D248" s="28"/>
      <c r="E248" s="14"/>
      <c r="F248" s="23"/>
      <c r="G248" s="28"/>
    </row>
    <row r="249" ht="53.25" customHeight="1">
      <c r="A249" s="27"/>
      <c r="B249" s="14" t="str">
        <f t="shared" si="1"/>
        <v>ES-CEDCS-ZARZA-</v>
      </c>
      <c r="C249" s="21" t="str">
        <f t="shared" si="2"/>
        <v>#VALUE!</v>
      </c>
      <c r="D249" s="28"/>
      <c r="E249" s="14"/>
      <c r="F249" s="23"/>
      <c r="G249" s="28"/>
    </row>
    <row r="250" ht="53.25" customHeight="1">
      <c r="A250" s="27"/>
      <c r="B250" s="14" t="str">
        <f t="shared" si="1"/>
        <v>ES-CEDCS-ZARZA-</v>
      </c>
      <c r="C250" s="21" t="str">
        <f t="shared" si="2"/>
        <v>#VALUE!</v>
      </c>
      <c r="D250" s="28"/>
      <c r="E250" s="14"/>
      <c r="F250" s="23"/>
      <c r="G250" s="28"/>
    </row>
    <row r="251" ht="53.25" customHeight="1">
      <c r="A251" s="27"/>
      <c r="B251" s="14" t="str">
        <f t="shared" si="1"/>
        <v>ES-CEDCS-ZARZA-</v>
      </c>
      <c r="C251" s="21" t="str">
        <f t="shared" si="2"/>
        <v>#VALUE!</v>
      </c>
      <c r="D251" s="28"/>
      <c r="E251" s="14"/>
      <c r="F251" s="23"/>
      <c r="G251" s="28"/>
    </row>
    <row r="252" ht="53.25" customHeight="1">
      <c r="A252" s="27"/>
      <c r="B252" s="14" t="str">
        <f t="shared" si="1"/>
        <v>ES-CEDCS-ZARZA-</v>
      </c>
      <c r="C252" s="21" t="str">
        <f t="shared" si="2"/>
        <v>#VALUE!</v>
      </c>
      <c r="D252" s="28"/>
      <c r="E252" s="14"/>
      <c r="F252" s="23"/>
      <c r="G252" s="28"/>
    </row>
    <row r="253" ht="53.25" customHeight="1">
      <c r="A253" s="27"/>
      <c r="B253" s="14" t="str">
        <f t="shared" si="1"/>
        <v>ES-CEDCS-ZARZA-</v>
      </c>
      <c r="C253" s="21" t="str">
        <f t="shared" si="2"/>
        <v>#VALUE!</v>
      </c>
      <c r="D253" s="28"/>
      <c r="E253" s="14"/>
      <c r="F253" s="23"/>
      <c r="G253" s="28"/>
    </row>
    <row r="254" ht="53.25" customHeight="1">
      <c r="A254" s="27"/>
      <c r="B254" s="14" t="str">
        <f t="shared" si="1"/>
        <v>ES-CEDCS-ZARZA-</v>
      </c>
      <c r="C254" s="21" t="str">
        <f t="shared" si="2"/>
        <v>#VALUE!</v>
      </c>
      <c r="D254" s="28"/>
      <c r="E254" s="14"/>
      <c r="F254" s="23"/>
      <c r="G254" s="28"/>
    </row>
    <row r="255" ht="53.25" customHeight="1">
      <c r="A255" s="27"/>
      <c r="B255" s="14" t="str">
        <f t="shared" si="1"/>
        <v>ES-CEDCS-ZARZA-</v>
      </c>
      <c r="C255" s="21" t="str">
        <f t="shared" si="2"/>
        <v>#VALUE!</v>
      </c>
      <c r="D255" s="28"/>
      <c r="E255" s="14"/>
      <c r="F255" s="23"/>
      <c r="G255" s="28"/>
    </row>
    <row r="256" ht="53.25" customHeight="1">
      <c r="A256" s="27"/>
      <c r="B256" s="14" t="str">
        <f t="shared" si="1"/>
        <v>ES-CEDCS-ZARZA-</v>
      </c>
      <c r="C256" s="21" t="str">
        <f t="shared" si="2"/>
        <v>#VALUE!</v>
      </c>
      <c r="D256" s="28"/>
      <c r="E256" s="14"/>
      <c r="F256" s="23"/>
      <c r="G256" s="28"/>
    </row>
    <row r="257" ht="53.25" customHeight="1">
      <c r="A257" s="27"/>
      <c r="B257" s="14" t="str">
        <f t="shared" si="1"/>
        <v>ES-CEDCS-ZARZA-</v>
      </c>
      <c r="C257" s="21" t="str">
        <f t="shared" si="2"/>
        <v>#VALUE!</v>
      </c>
      <c r="D257" s="28"/>
      <c r="E257" s="14"/>
      <c r="F257" s="23"/>
      <c r="G257" s="28"/>
    </row>
    <row r="258" ht="53.25" customHeight="1">
      <c r="A258" s="27"/>
      <c r="B258" s="14" t="str">
        <f t="shared" si="1"/>
        <v>ES-CEDCS-ZARZA-</v>
      </c>
      <c r="C258" s="21" t="str">
        <f t="shared" si="2"/>
        <v>#VALUE!</v>
      </c>
      <c r="D258" s="28"/>
      <c r="E258" s="14"/>
      <c r="F258" s="23"/>
      <c r="G258" s="28"/>
    </row>
    <row r="259" ht="53.25" customHeight="1">
      <c r="A259" s="27"/>
      <c r="B259" s="14" t="str">
        <f t="shared" si="1"/>
        <v>ES-CEDCS-ZARZA-</v>
      </c>
      <c r="C259" s="21" t="str">
        <f t="shared" si="2"/>
        <v>#VALUE!</v>
      </c>
      <c r="D259" s="28"/>
      <c r="E259" s="14"/>
      <c r="F259" s="23"/>
      <c r="G259" s="28"/>
    </row>
    <row r="260" ht="53.25" customHeight="1">
      <c r="B260" s="34"/>
    </row>
    <row r="261" ht="53.25" customHeight="1">
      <c r="B261" s="34"/>
    </row>
    <row r="262" ht="53.25" customHeight="1">
      <c r="B262" s="34"/>
    </row>
    <row r="263" ht="53.25" customHeight="1">
      <c r="B263" s="34"/>
    </row>
    <row r="264" ht="53.25" customHeight="1">
      <c r="B264" s="34"/>
    </row>
    <row r="265" ht="53.25" customHeight="1">
      <c r="B265" s="34"/>
    </row>
    <row r="266" ht="53.25" customHeight="1">
      <c r="B266" s="34"/>
    </row>
    <row r="267" ht="53.25" customHeight="1">
      <c r="B267" s="34"/>
    </row>
    <row r="268" ht="53.25" customHeight="1">
      <c r="B268" s="34"/>
    </row>
    <row r="269" ht="53.25" customHeight="1">
      <c r="B269" s="34"/>
    </row>
    <row r="270" ht="53.25" customHeight="1">
      <c r="B270" s="34"/>
    </row>
    <row r="271" ht="53.25" customHeight="1">
      <c r="B271" s="34"/>
    </row>
    <row r="272" ht="53.25" customHeight="1">
      <c r="B272" s="34"/>
    </row>
    <row r="273" ht="53.25" customHeight="1">
      <c r="B273" s="34"/>
    </row>
    <row r="274" ht="53.25" customHeight="1">
      <c r="B274" s="34"/>
    </row>
    <row r="275" ht="53.25" customHeight="1">
      <c r="B275" s="34"/>
    </row>
    <row r="276" ht="53.25" customHeight="1">
      <c r="B276" s="34"/>
    </row>
    <row r="277" ht="53.25" customHeight="1">
      <c r="B277" s="34"/>
    </row>
    <row r="278" ht="53.25" customHeight="1">
      <c r="B278" s="34"/>
    </row>
    <row r="279" ht="53.25" customHeight="1">
      <c r="B279" s="34"/>
    </row>
    <row r="280" ht="53.25" customHeight="1">
      <c r="B280" s="34"/>
    </row>
    <row r="281" ht="53.25" customHeight="1">
      <c r="B281" s="34"/>
    </row>
    <row r="282" ht="53.25" customHeight="1">
      <c r="B282" s="34"/>
    </row>
    <row r="283" ht="53.25" customHeight="1">
      <c r="B283" s="34"/>
    </row>
    <row r="284" ht="53.25" customHeight="1">
      <c r="B284" s="34"/>
    </row>
    <row r="285" ht="53.25" customHeight="1">
      <c r="B285" s="34"/>
    </row>
    <row r="286" ht="53.25" customHeight="1">
      <c r="B286" s="34"/>
    </row>
    <row r="287" ht="53.25" customHeight="1">
      <c r="B287" s="34"/>
    </row>
    <row r="288" ht="53.25" customHeight="1">
      <c r="B288" s="34"/>
    </row>
    <row r="289" ht="53.25" customHeight="1">
      <c r="B289" s="34"/>
    </row>
    <row r="290" ht="53.25" customHeight="1">
      <c r="B290" s="34"/>
    </row>
    <row r="291" ht="53.25" customHeight="1">
      <c r="B291" s="34"/>
    </row>
    <row r="292" ht="53.25" customHeight="1">
      <c r="B292" s="34"/>
    </row>
    <row r="293" ht="53.25" customHeight="1">
      <c r="B293" s="34"/>
    </row>
    <row r="294" ht="53.25" customHeight="1">
      <c r="B294" s="34"/>
    </row>
    <row r="295" ht="53.25" customHeight="1">
      <c r="B295" s="34"/>
    </row>
    <row r="296" ht="53.25" customHeight="1">
      <c r="B296" s="34"/>
    </row>
    <row r="297" ht="53.25" customHeight="1">
      <c r="B297" s="34"/>
    </row>
    <row r="298" ht="53.25" customHeight="1">
      <c r="B298" s="34"/>
    </row>
    <row r="299" ht="53.25" customHeight="1">
      <c r="B299" s="34"/>
    </row>
    <row r="300" ht="53.25" customHeight="1">
      <c r="B300" s="34"/>
    </row>
    <row r="301" ht="53.25" customHeight="1">
      <c r="B301" s="34"/>
    </row>
    <row r="302" ht="53.25" customHeight="1">
      <c r="B302" s="34"/>
    </row>
    <row r="303" ht="53.25" customHeight="1">
      <c r="B303" s="34"/>
    </row>
    <row r="304" ht="53.25" customHeight="1">
      <c r="B304" s="34"/>
    </row>
    <row r="305" ht="53.25" customHeight="1">
      <c r="B305" s="34"/>
    </row>
    <row r="306" ht="53.25" customHeight="1">
      <c r="B306" s="34"/>
    </row>
    <row r="307" ht="53.25" customHeight="1">
      <c r="B307" s="34"/>
    </row>
    <row r="308" ht="53.25" customHeight="1">
      <c r="B308" s="34"/>
    </row>
    <row r="309" ht="53.25" customHeight="1">
      <c r="B309" s="34"/>
    </row>
    <row r="310" ht="53.25" customHeight="1">
      <c r="B310" s="34"/>
    </row>
    <row r="311" ht="53.25" customHeight="1">
      <c r="B311" s="34"/>
    </row>
    <row r="312" ht="53.25" customHeight="1">
      <c r="B312" s="34"/>
    </row>
    <row r="313" ht="53.25" customHeight="1">
      <c r="B313" s="34"/>
    </row>
    <row r="314" ht="53.25" customHeight="1">
      <c r="B314" s="34"/>
    </row>
    <row r="315" ht="53.25" customHeight="1">
      <c r="B315" s="34"/>
    </row>
    <row r="316" ht="53.25" customHeight="1">
      <c r="B316" s="34"/>
    </row>
    <row r="317" ht="53.25" customHeight="1">
      <c r="B317" s="34"/>
    </row>
    <row r="318" ht="53.25" customHeight="1">
      <c r="B318" s="34"/>
    </row>
    <row r="319" ht="53.25" customHeight="1">
      <c r="B319" s="34"/>
    </row>
    <row r="320" ht="53.25" customHeight="1">
      <c r="B320" s="34"/>
    </row>
    <row r="321" ht="53.25" customHeight="1">
      <c r="B321" s="34"/>
    </row>
    <row r="322" ht="53.25" customHeight="1">
      <c r="B322" s="34"/>
    </row>
    <row r="323" ht="53.25" customHeight="1">
      <c r="B323" s="34"/>
    </row>
    <row r="324" ht="53.25" customHeight="1">
      <c r="B324" s="34"/>
    </row>
    <row r="325" ht="53.25" customHeight="1">
      <c r="B325" s="34"/>
    </row>
    <row r="326" ht="53.25" customHeight="1">
      <c r="B326" s="34"/>
    </row>
    <row r="327" ht="53.25" customHeight="1">
      <c r="B327" s="34"/>
    </row>
    <row r="328" ht="53.25" customHeight="1">
      <c r="B328" s="34"/>
    </row>
    <row r="329" ht="53.25" customHeight="1">
      <c r="B329" s="34"/>
    </row>
    <row r="330" ht="53.25" customHeight="1">
      <c r="B330" s="34"/>
    </row>
    <row r="331" ht="53.25" customHeight="1">
      <c r="B331" s="34"/>
    </row>
    <row r="332" ht="53.25" customHeight="1">
      <c r="B332" s="34"/>
    </row>
    <row r="333" ht="53.25" customHeight="1">
      <c r="B333" s="34"/>
    </row>
    <row r="334" ht="53.25" customHeight="1">
      <c r="B334" s="34"/>
    </row>
    <row r="335" ht="53.25" customHeight="1">
      <c r="B335" s="34"/>
    </row>
    <row r="336" ht="53.25" customHeight="1">
      <c r="B336" s="34"/>
    </row>
    <row r="337" ht="53.25" customHeight="1">
      <c r="B337" s="34"/>
    </row>
    <row r="338" ht="53.25" customHeight="1">
      <c r="B338" s="34"/>
    </row>
    <row r="339" ht="53.25" customHeight="1">
      <c r="B339" s="34"/>
    </row>
    <row r="340" ht="53.25" customHeight="1">
      <c r="B340" s="34"/>
    </row>
    <row r="341" ht="53.25" customHeight="1">
      <c r="B341" s="34"/>
    </row>
    <row r="342" ht="53.25" customHeight="1">
      <c r="B342" s="34"/>
    </row>
    <row r="343" ht="53.25" customHeight="1">
      <c r="B343" s="34"/>
    </row>
    <row r="344" ht="53.25" customHeight="1">
      <c r="B344" s="34"/>
    </row>
    <row r="345" ht="53.25" customHeight="1">
      <c r="B345" s="34"/>
    </row>
    <row r="346" ht="53.25" customHeight="1">
      <c r="B346" s="34"/>
    </row>
    <row r="347" ht="53.25" customHeight="1">
      <c r="B347" s="34"/>
    </row>
    <row r="348" ht="53.25" customHeight="1">
      <c r="B348" s="34"/>
    </row>
    <row r="349" ht="53.25" customHeight="1">
      <c r="B349" s="34"/>
    </row>
    <row r="350" ht="53.25" customHeight="1">
      <c r="B350" s="34"/>
    </row>
    <row r="351" ht="53.25" customHeight="1">
      <c r="B351" s="34"/>
    </row>
    <row r="352" ht="53.25" customHeight="1">
      <c r="B352" s="34"/>
    </row>
    <row r="353" ht="53.25" customHeight="1">
      <c r="B353" s="34"/>
    </row>
    <row r="354" ht="53.25" customHeight="1">
      <c r="B354" s="34"/>
    </row>
    <row r="355" ht="53.25" customHeight="1">
      <c r="B355" s="34"/>
    </row>
    <row r="356" ht="53.25" customHeight="1">
      <c r="B356" s="34"/>
    </row>
    <row r="357" ht="53.25" customHeight="1">
      <c r="B357" s="34"/>
    </row>
    <row r="358" ht="53.25" customHeight="1">
      <c r="B358" s="34"/>
    </row>
    <row r="359" ht="53.25" customHeight="1">
      <c r="B359" s="34"/>
    </row>
    <row r="360" ht="53.25" customHeight="1">
      <c r="B360" s="34"/>
    </row>
    <row r="361" ht="53.25" customHeight="1">
      <c r="B361" s="34"/>
    </row>
    <row r="362" ht="53.25" customHeight="1">
      <c r="B362" s="34"/>
    </row>
    <row r="363" ht="53.25" customHeight="1">
      <c r="B363" s="34"/>
    </row>
    <row r="364" ht="53.25" customHeight="1">
      <c r="B364" s="34"/>
    </row>
    <row r="365" ht="53.25" customHeight="1">
      <c r="B365" s="34"/>
    </row>
    <row r="366" ht="53.25" customHeight="1">
      <c r="B366" s="34"/>
    </row>
    <row r="367" ht="53.25" customHeight="1">
      <c r="B367" s="34"/>
    </row>
    <row r="368" ht="53.25" customHeight="1">
      <c r="B368" s="34"/>
    </row>
    <row r="369" ht="53.25" customHeight="1">
      <c r="B369" s="34"/>
    </row>
    <row r="370" ht="53.25" customHeight="1">
      <c r="B370" s="34"/>
    </row>
    <row r="371" ht="53.25" customHeight="1">
      <c r="B371" s="34"/>
    </row>
    <row r="372" ht="53.25" customHeight="1">
      <c r="B372" s="34"/>
    </row>
    <row r="373" ht="53.25" customHeight="1">
      <c r="B373" s="34"/>
    </row>
    <row r="374" ht="53.25" customHeight="1">
      <c r="B374" s="34"/>
    </row>
    <row r="375" ht="53.25" customHeight="1">
      <c r="B375" s="34"/>
    </row>
    <row r="376" ht="53.25" customHeight="1">
      <c r="B376" s="34"/>
    </row>
    <row r="377" ht="53.25" customHeight="1">
      <c r="B377" s="34"/>
    </row>
    <row r="378" ht="53.25" customHeight="1">
      <c r="B378" s="34"/>
    </row>
    <row r="379" ht="53.25" customHeight="1">
      <c r="B379" s="34"/>
    </row>
    <row r="380" ht="53.25" customHeight="1">
      <c r="B380" s="34"/>
    </row>
    <row r="381" ht="53.25" customHeight="1">
      <c r="B381" s="34"/>
    </row>
    <row r="382" ht="53.25" customHeight="1">
      <c r="B382" s="34"/>
    </row>
    <row r="383" ht="53.25" customHeight="1">
      <c r="B383" s="34"/>
    </row>
    <row r="384" ht="53.25" customHeight="1">
      <c r="B384" s="34"/>
    </row>
    <row r="385" ht="53.25" customHeight="1">
      <c r="B385" s="34"/>
    </row>
    <row r="386" ht="53.25" customHeight="1">
      <c r="B386" s="34"/>
    </row>
    <row r="387" ht="53.25" customHeight="1">
      <c r="B387" s="34"/>
    </row>
    <row r="388" ht="53.25" customHeight="1">
      <c r="B388" s="34"/>
    </row>
    <row r="389" ht="53.25" customHeight="1">
      <c r="B389" s="34"/>
    </row>
    <row r="390" ht="53.25" customHeight="1">
      <c r="B390" s="34"/>
    </row>
    <row r="391" ht="53.25" customHeight="1">
      <c r="B391" s="34"/>
    </row>
    <row r="392" ht="53.25" customHeight="1">
      <c r="B392" s="34"/>
    </row>
    <row r="393" ht="53.25" customHeight="1">
      <c r="B393" s="34"/>
    </row>
    <row r="394" ht="53.25" customHeight="1">
      <c r="B394" s="34"/>
    </row>
    <row r="395" ht="53.25" customHeight="1">
      <c r="B395" s="34"/>
    </row>
    <row r="396" ht="53.25" customHeight="1">
      <c r="B396" s="34"/>
    </row>
    <row r="397" ht="53.25" customHeight="1">
      <c r="B397" s="34"/>
    </row>
    <row r="398" ht="53.25" customHeight="1">
      <c r="B398" s="34"/>
    </row>
    <row r="399" ht="53.25" customHeight="1">
      <c r="B399" s="34"/>
    </row>
    <row r="400" ht="53.25" customHeight="1">
      <c r="B400" s="34"/>
    </row>
    <row r="401" ht="53.25" customHeight="1">
      <c r="B401" s="34"/>
    </row>
    <row r="402" ht="53.25" customHeight="1">
      <c r="B402" s="34"/>
    </row>
    <row r="403" ht="53.25" customHeight="1">
      <c r="B403" s="34"/>
    </row>
    <row r="404" ht="53.25" customHeight="1">
      <c r="B404" s="34"/>
    </row>
    <row r="405" ht="53.25" customHeight="1">
      <c r="B405" s="34"/>
    </row>
    <row r="406" ht="53.25" customHeight="1">
      <c r="B406" s="34"/>
    </row>
    <row r="407" ht="53.25" customHeight="1">
      <c r="B407" s="34"/>
    </row>
    <row r="408" ht="53.25" customHeight="1">
      <c r="B408" s="34"/>
    </row>
    <row r="409" ht="53.25" customHeight="1">
      <c r="B409" s="34"/>
    </row>
    <row r="410" ht="53.25" customHeight="1">
      <c r="B410" s="34"/>
    </row>
    <row r="411" ht="53.25" customHeight="1">
      <c r="B411" s="34"/>
    </row>
    <row r="412" ht="53.25" customHeight="1">
      <c r="B412" s="34"/>
    </row>
    <row r="413" ht="53.25" customHeight="1">
      <c r="B413" s="34"/>
    </row>
    <row r="414" ht="53.25" customHeight="1">
      <c r="B414" s="34"/>
    </row>
    <row r="415" ht="53.25" customHeight="1">
      <c r="B415" s="34"/>
    </row>
    <row r="416" ht="53.25" customHeight="1">
      <c r="B416" s="34"/>
    </row>
    <row r="417" ht="53.25" customHeight="1">
      <c r="B417" s="34"/>
    </row>
    <row r="418" ht="53.25" customHeight="1">
      <c r="B418" s="34"/>
    </row>
    <row r="419" ht="53.25" customHeight="1">
      <c r="B419" s="34"/>
    </row>
    <row r="420" ht="53.25" customHeight="1">
      <c r="B420" s="34"/>
    </row>
    <row r="421" ht="53.25" customHeight="1">
      <c r="B421" s="34"/>
    </row>
    <row r="422" ht="53.25" customHeight="1">
      <c r="B422" s="34"/>
    </row>
    <row r="423" ht="53.25" customHeight="1">
      <c r="B423" s="34"/>
    </row>
    <row r="424" ht="53.25" customHeight="1">
      <c r="B424" s="34"/>
    </row>
    <row r="425" ht="53.25" customHeight="1">
      <c r="B425" s="34"/>
    </row>
    <row r="426" ht="53.25" customHeight="1">
      <c r="B426" s="34"/>
    </row>
    <row r="427" ht="53.25" customHeight="1">
      <c r="B427" s="34"/>
    </row>
    <row r="428" ht="53.25" customHeight="1">
      <c r="B428" s="34"/>
    </row>
    <row r="429" ht="53.25" customHeight="1">
      <c r="B429" s="34"/>
    </row>
    <row r="430" ht="53.25" customHeight="1">
      <c r="B430" s="34"/>
    </row>
    <row r="431" ht="53.25" customHeight="1">
      <c r="B431" s="34"/>
    </row>
    <row r="432" ht="53.25" customHeight="1">
      <c r="B432" s="34"/>
    </row>
    <row r="433" ht="53.25" customHeight="1">
      <c r="B433" s="34"/>
    </row>
    <row r="434" ht="53.25" customHeight="1">
      <c r="B434" s="34"/>
    </row>
    <row r="435" ht="53.25" customHeight="1">
      <c r="B435" s="34"/>
    </row>
    <row r="436" ht="53.25" customHeight="1">
      <c r="B436" s="34"/>
    </row>
    <row r="437" ht="53.25" customHeight="1">
      <c r="B437" s="34"/>
    </row>
    <row r="438" ht="53.25" customHeight="1">
      <c r="B438" s="34"/>
    </row>
    <row r="439" ht="53.25" customHeight="1">
      <c r="B439" s="34"/>
    </row>
    <row r="440" ht="53.25" customHeight="1">
      <c r="B440" s="34"/>
    </row>
    <row r="441" ht="53.25" customHeight="1">
      <c r="B441" s="34"/>
    </row>
    <row r="442" ht="53.25" customHeight="1">
      <c r="B442" s="34"/>
    </row>
    <row r="443" ht="53.25" customHeight="1">
      <c r="B443" s="34"/>
    </row>
    <row r="444" ht="53.25" customHeight="1">
      <c r="B444" s="34"/>
    </row>
    <row r="445" ht="53.25" customHeight="1">
      <c r="B445" s="34"/>
    </row>
    <row r="446" ht="53.25" customHeight="1">
      <c r="B446" s="34"/>
    </row>
    <row r="447" ht="53.25" customHeight="1">
      <c r="B447" s="34"/>
    </row>
    <row r="448" ht="53.25" customHeight="1">
      <c r="B448" s="34"/>
    </row>
    <row r="449" ht="53.25" customHeight="1">
      <c r="B449" s="34"/>
    </row>
    <row r="450" ht="53.25" customHeight="1">
      <c r="B450" s="34"/>
    </row>
    <row r="451" ht="53.25" customHeight="1">
      <c r="B451" s="34"/>
    </row>
    <row r="452" ht="53.25" customHeight="1">
      <c r="B452" s="34"/>
    </row>
    <row r="453" ht="53.25" customHeight="1">
      <c r="B453" s="34"/>
    </row>
    <row r="454" ht="53.25" customHeight="1">
      <c r="B454" s="34"/>
    </row>
    <row r="455" ht="53.25" customHeight="1">
      <c r="B455" s="34"/>
    </row>
    <row r="456" ht="53.25" customHeight="1">
      <c r="B456" s="34"/>
    </row>
    <row r="457" ht="53.25" customHeight="1">
      <c r="B457" s="34"/>
    </row>
    <row r="458" ht="53.25" customHeight="1">
      <c r="B458" s="34"/>
    </row>
    <row r="459" ht="53.25" customHeight="1">
      <c r="B459" s="34"/>
    </row>
    <row r="460" ht="53.25" customHeight="1">
      <c r="B460" s="34"/>
    </row>
    <row r="461" ht="53.25" customHeight="1">
      <c r="B461" s="34"/>
    </row>
    <row r="462" ht="53.25" customHeight="1">
      <c r="B462" s="34"/>
    </row>
    <row r="463" ht="53.25" customHeight="1">
      <c r="B463" s="34"/>
    </row>
    <row r="464" ht="53.25" customHeight="1">
      <c r="B464" s="34"/>
    </row>
    <row r="465" ht="53.25" customHeight="1">
      <c r="B465" s="34"/>
    </row>
    <row r="466" ht="53.25" customHeight="1">
      <c r="B466" s="34"/>
    </row>
    <row r="467" ht="53.25" customHeight="1">
      <c r="B467" s="34"/>
    </row>
    <row r="468" ht="53.25" customHeight="1">
      <c r="B468" s="34"/>
    </row>
    <row r="469" ht="53.25" customHeight="1">
      <c r="B469" s="34"/>
    </row>
    <row r="470" ht="53.25" customHeight="1">
      <c r="B470" s="34"/>
    </row>
    <row r="471" ht="53.25" customHeight="1">
      <c r="B471" s="34"/>
    </row>
    <row r="472" ht="53.25" customHeight="1">
      <c r="B472" s="34"/>
    </row>
    <row r="473" ht="53.25" customHeight="1">
      <c r="B473" s="34"/>
    </row>
    <row r="474" ht="53.25" customHeight="1">
      <c r="B474" s="34"/>
    </row>
    <row r="475" ht="53.25" customHeight="1">
      <c r="B475" s="34"/>
    </row>
    <row r="476" ht="53.25" customHeight="1">
      <c r="B476" s="34"/>
    </row>
    <row r="477" ht="53.25" customHeight="1">
      <c r="B477" s="34"/>
    </row>
    <row r="478" ht="53.25" customHeight="1">
      <c r="B478" s="34"/>
    </row>
    <row r="479" ht="53.25" customHeight="1">
      <c r="B479" s="34"/>
    </row>
    <row r="480" ht="53.25" customHeight="1">
      <c r="B480" s="34"/>
    </row>
    <row r="481" ht="53.25" customHeight="1">
      <c r="B481" s="34"/>
    </row>
    <row r="482" ht="53.25" customHeight="1">
      <c r="B482" s="34"/>
    </row>
    <row r="483" ht="53.25" customHeight="1">
      <c r="B483" s="34"/>
    </row>
    <row r="484" ht="53.25" customHeight="1">
      <c r="B484" s="34"/>
    </row>
    <row r="485" ht="53.25" customHeight="1">
      <c r="B485" s="34"/>
    </row>
    <row r="486" ht="53.25" customHeight="1">
      <c r="B486" s="34"/>
    </row>
    <row r="487" ht="53.25" customHeight="1">
      <c r="B487" s="34"/>
    </row>
    <row r="488" ht="53.25" customHeight="1">
      <c r="B488" s="34"/>
    </row>
    <row r="489" ht="53.25" customHeight="1">
      <c r="B489" s="34"/>
    </row>
    <row r="490" ht="53.25" customHeight="1">
      <c r="B490" s="34"/>
    </row>
    <row r="491" ht="53.25" customHeight="1">
      <c r="B491" s="34"/>
    </row>
    <row r="492" ht="53.25" customHeight="1">
      <c r="B492" s="34"/>
    </row>
    <row r="493" ht="53.25" customHeight="1">
      <c r="B493" s="34"/>
    </row>
    <row r="494" ht="53.25" customHeight="1">
      <c r="B494" s="34"/>
    </row>
    <row r="495" ht="53.25" customHeight="1">
      <c r="B495" s="34"/>
    </row>
    <row r="496" ht="53.25" customHeight="1">
      <c r="B496" s="34"/>
    </row>
    <row r="497" ht="53.25" customHeight="1">
      <c r="B497" s="34"/>
    </row>
    <row r="498" ht="53.25" customHeight="1">
      <c r="B498" s="34"/>
    </row>
    <row r="499" ht="53.25" customHeight="1">
      <c r="B499" s="34"/>
    </row>
    <row r="500" ht="53.25" customHeight="1">
      <c r="B500" s="34"/>
    </row>
    <row r="501" ht="53.25" customHeight="1">
      <c r="B501" s="34"/>
    </row>
    <row r="502" ht="53.25" customHeight="1">
      <c r="B502" s="34"/>
    </row>
    <row r="503" ht="53.25" customHeight="1">
      <c r="B503" s="34"/>
    </row>
    <row r="504" ht="53.25" customHeight="1">
      <c r="B504" s="34"/>
    </row>
    <row r="505" ht="53.25" customHeight="1">
      <c r="B505" s="34"/>
    </row>
    <row r="506" ht="53.25" customHeight="1">
      <c r="B506" s="34"/>
    </row>
    <row r="507" ht="53.25" customHeight="1">
      <c r="B507" s="34"/>
    </row>
    <row r="508" ht="53.25" customHeight="1">
      <c r="B508" s="34"/>
    </row>
    <row r="509" ht="53.25" customHeight="1">
      <c r="B509" s="34"/>
    </row>
    <row r="510" ht="53.25" customHeight="1">
      <c r="B510" s="34"/>
    </row>
    <row r="511" ht="53.25" customHeight="1">
      <c r="B511" s="34"/>
    </row>
    <row r="512" ht="53.25" customHeight="1">
      <c r="B512" s="34"/>
    </row>
    <row r="513" ht="53.25" customHeight="1">
      <c r="B513" s="34"/>
    </row>
    <row r="514" ht="53.25" customHeight="1">
      <c r="B514" s="34"/>
    </row>
    <row r="515" ht="53.25" customHeight="1">
      <c r="B515" s="34"/>
    </row>
    <row r="516" ht="53.25" customHeight="1">
      <c r="B516" s="34"/>
    </row>
    <row r="517" ht="53.25" customHeight="1">
      <c r="B517" s="34"/>
    </row>
    <row r="518" ht="53.25" customHeight="1">
      <c r="B518" s="34"/>
    </row>
    <row r="519" ht="53.25" customHeight="1">
      <c r="B519" s="34"/>
    </row>
    <row r="520" ht="53.25" customHeight="1">
      <c r="B520" s="34"/>
    </row>
    <row r="521" ht="53.25" customHeight="1">
      <c r="B521" s="34"/>
    </row>
    <row r="522" ht="53.25" customHeight="1">
      <c r="B522" s="34"/>
    </row>
    <row r="523" ht="53.25" customHeight="1">
      <c r="B523" s="34"/>
    </row>
    <row r="524" ht="53.25" customHeight="1">
      <c r="B524" s="34"/>
    </row>
    <row r="525" ht="53.25" customHeight="1">
      <c r="B525" s="34"/>
    </row>
    <row r="526" ht="53.25" customHeight="1">
      <c r="B526" s="34"/>
    </row>
    <row r="527" ht="53.25" customHeight="1">
      <c r="B527" s="34"/>
    </row>
    <row r="528" ht="53.25" customHeight="1">
      <c r="B528" s="34"/>
    </row>
    <row r="529" ht="53.25" customHeight="1">
      <c r="B529" s="34"/>
    </row>
    <row r="530" ht="53.25" customHeight="1">
      <c r="B530" s="34"/>
    </row>
    <row r="531" ht="53.25" customHeight="1">
      <c r="B531" s="34"/>
    </row>
    <row r="532" ht="53.25" customHeight="1">
      <c r="B532" s="34"/>
    </row>
    <row r="533" ht="53.25" customHeight="1">
      <c r="B533" s="34"/>
    </row>
    <row r="534" ht="53.25" customHeight="1">
      <c r="B534" s="34"/>
    </row>
    <row r="535" ht="53.25" customHeight="1">
      <c r="B535" s="34"/>
    </row>
    <row r="536" ht="53.25" customHeight="1">
      <c r="B536" s="34"/>
    </row>
    <row r="537" ht="53.25" customHeight="1">
      <c r="B537" s="34"/>
    </row>
    <row r="538" ht="53.25" customHeight="1">
      <c r="B538" s="34"/>
    </row>
    <row r="539" ht="53.25" customHeight="1">
      <c r="B539" s="34"/>
    </row>
    <row r="540" ht="53.25" customHeight="1">
      <c r="B540" s="34"/>
    </row>
    <row r="541" ht="53.25" customHeight="1">
      <c r="B541" s="34"/>
    </row>
    <row r="542" ht="53.25" customHeight="1">
      <c r="B542" s="34"/>
    </row>
    <row r="543" ht="53.25" customHeight="1">
      <c r="B543" s="34"/>
    </row>
    <row r="544" ht="53.25" customHeight="1">
      <c r="B544" s="34"/>
    </row>
    <row r="545" ht="53.25" customHeight="1">
      <c r="B545" s="34"/>
    </row>
    <row r="546" ht="53.25" customHeight="1">
      <c r="B546" s="34"/>
    </row>
    <row r="547" ht="53.25" customHeight="1">
      <c r="B547" s="34"/>
    </row>
    <row r="548" ht="53.25" customHeight="1">
      <c r="B548" s="34"/>
    </row>
    <row r="549" ht="53.25" customHeight="1">
      <c r="B549" s="34"/>
    </row>
    <row r="550" ht="53.25" customHeight="1">
      <c r="B550" s="34"/>
    </row>
    <row r="551" ht="53.25" customHeight="1">
      <c r="B551" s="34"/>
    </row>
    <row r="552" ht="53.25" customHeight="1">
      <c r="B552" s="34"/>
    </row>
    <row r="553" ht="53.25" customHeight="1">
      <c r="B553" s="34"/>
    </row>
    <row r="554" ht="53.25" customHeight="1">
      <c r="B554" s="34"/>
    </row>
    <row r="555" ht="53.25" customHeight="1">
      <c r="B555" s="34"/>
    </row>
    <row r="556" ht="53.25" customHeight="1">
      <c r="B556" s="34"/>
    </row>
    <row r="557" ht="53.25" customHeight="1">
      <c r="B557" s="34"/>
    </row>
    <row r="558" ht="53.25" customHeight="1">
      <c r="B558" s="34"/>
    </row>
    <row r="559" ht="53.25" customHeight="1">
      <c r="B559" s="34"/>
    </row>
    <row r="560" ht="53.25" customHeight="1">
      <c r="B560" s="34"/>
    </row>
    <row r="561" ht="53.25" customHeight="1">
      <c r="B561" s="34"/>
    </row>
    <row r="562" ht="53.25" customHeight="1">
      <c r="B562" s="34"/>
    </row>
    <row r="563" ht="53.25" customHeight="1">
      <c r="B563" s="34"/>
    </row>
    <row r="564" ht="53.25" customHeight="1">
      <c r="B564" s="34"/>
    </row>
    <row r="565" ht="53.25" customHeight="1">
      <c r="B565" s="34"/>
    </row>
    <row r="566" ht="53.25" customHeight="1">
      <c r="B566" s="34"/>
    </row>
    <row r="567" ht="53.25" customHeight="1">
      <c r="B567" s="34"/>
    </row>
    <row r="568" ht="53.25" customHeight="1">
      <c r="B568" s="34"/>
    </row>
    <row r="569" ht="53.25" customHeight="1">
      <c r="B569" s="34"/>
    </row>
    <row r="570" ht="53.25" customHeight="1">
      <c r="B570" s="34"/>
    </row>
    <row r="571" ht="53.25" customHeight="1">
      <c r="B571" s="34"/>
    </row>
    <row r="572" ht="53.25" customHeight="1">
      <c r="B572" s="34"/>
    </row>
    <row r="573" ht="53.25" customHeight="1">
      <c r="B573" s="34"/>
    </row>
    <row r="574" ht="53.25" customHeight="1">
      <c r="B574" s="34"/>
    </row>
    <row r="575" ht="53.25" customHeight="1">
      <c r="B575" s="34"/>
    </row>
    <row r="576" ht="53.25" customHeight="1">
      <c r="B576" s="34"/>
    </row>
    <row r="577" ht="53.25" customHeight="1">
      <c r="B577" s="34"/>
    </row>
    <row r="578" ht="53.25" customHeight="1">
      <c r="B578" s="34"/>
    </row>
    <row r="579" ht="53.25" customHeight="1">
      <c r="B579" s="34"/>
    </row>
    <row r="580" ht="53.25" customHeight="1">
      <c r="B580" s="34"/>
    </row>
    <row r="581" ht="53.25" customHeight="1">
      <c r="B581" s="34"/>
    </row>
    <row r="582" ht="53.25" customHeight="1">
      <c r="B582" s="34"/>
    </row>
    <row r="583" ht="53.25" customHeight="1">
      <c r="B583" s="34"/>
    </row>
    <row r="584" ht="53.25" customHeight="1">
      <c r="B584" s="34"/>
    </row>
    <row r="585" ht="53.25" customHeight="1">
      <c r="B585" s="34"/>
    </row>
    <row r="586" ht="53.25" customHeight="1">
      <c r="B586" s="34"/>
    </row>
    <row r="587" ht="53.25" customHeight="1">
      <c r="B587" s="34"/>
    </row>
    <row r="588" ht="53.25" customHeight="1">
      <c r="B588" s="34"/>
    </row>
    <row r="589" ht="53.25" customHeight="1">
      <c r="B589" s="34"/>
    </row>
    <row r="590" ht="53.25" customHeight="1">
      <c r="B590" s="34"/>
    </row>
    <row r="591" ht="53.25" customHeight="1">
      <c r="B591" s="34"/>
    </row>
    <row r="592" ht="53.25" customHeight="1">
      <c r="B592" s="34"/>
    </row>
    <row r="593" ht="53.25" customHeight="1">
      <c r="B593" s="34"/>
    </row>
    <row r="594" ht="53.25" customHeight="1">
      <c r="B594" s="34"/>
    </row>
    <row r="595" ht="53.25" customHeight="1">
      <c r="B595" s="34"/>
    </row>
    <row r="596" ht="53.25" customHeight="1">
      <c r="B596" s="34"/>
    </row>
    <row r="597" ht="53.25" customHeight="1">
      <c r="B597" s="34"/>
    </row>
    <row r="598" ht="53.25" customHeight="1">
      <c r="B598" s="34"/>
    </row>
    <row r="599" ht="53.25" customHeight="1">
      <c r="B599" s="34"/>
    </row>
    <row r="600" ht="53.25" customHeight="1">
      <c r="B600" s="34"/>
    </row>
    <row r="601" ht="53.25" customHeight="1">
      <c r="B601" s="34"/>
    </row>
    <row r="602" ht="53.25" customHeight="1">
      <c r="B602" s="34"/>
    </row>
    <row r="603" ht="53.25" customHeight="1">
      <c r="B603" s="34"/>
    </row>
    <row r="604" ht="53.25" customHeight="1">
      <c r="B604" s="34"/>
    </row>
    <row r="605" ht="53.25" customHeight="1">
      <c r="B605" s="34"/>
    </row>
    <row r="606" ht="53.25" customHeight="1">
      <c r="B606" s="34"/>
    </row>
    <row r="607" ht="53.25" customHeight="1">
      <c r="B607" s="34"/>
    </row>
    <row r="608" ht="53.25" customHeight="1">
      <c r="B608" s="34"/>
    </row>
    <row r="609" ht="53.25" customHeight="1">
      <c r="B609" s="34"/>
    </row>
    <row r="610" ht="53.25" customHeight="1">
      <c r="B610" s="34"/>
    </row>
    <row r="611" ht="53.25" customHeight="1">
      <c r="B611" s="34"/>
    </row>
    <row r="612" ht="53.25" customHeight="1">
      <c r="B612" s="34"/>
    </row>
    <row r="613" ht="53.25" customHeight="1">
      <c r="B613" s="34"/>
    </row>
    <row r="614" ht="53.25" customHeight="1">
      <c r="B614" s="34"/>
    </row>
    <row r="615" ht="53.25" customHeight="1">
      <c r="B615" s="34"/>
    </row>
    <row r="616" ht="53.25" customHeight="1">
      <c r="B616" s="34"/>
    </row>
    <row r="617" ht="53.25" customHeight="1">
      <c r="B617" s="34"/>
    </row>
    <row r="618" ht="53.25" customHeight="1">
      <c r="B618" s="34"/>
    </row>
    <row r="619" ht="53.25" customHeight="1">
      <c r="B619" s="34"/>
    </row>
    <row r="620" ht="53.25" customHeight="1">
      <c r="B620" s="34"/>
    </row>
    <row r="621" ht="53.25" customHeight="1">
      <c r="B621" s="34"/>
    </row>
    <row r="622" ht="53.25" customHeight="1">
      <c r="B622" s="34"/>
    </row>
    <row r="623" ht="53.25" customHeight="1">
      <c r="B623" s="34"/>
    </row>
    <row r="624" ht="53.25" customHeight="1">
      <c r="B624" s="34"/>
    </row>
    <row r="625" ht="53.25" customHeight="1">
      <c r="B625" s="34"/>
    </row>
    <row r="626" ht="53.25" customHeight="1">
      <c r="B626" s="34"/>
    </row>
    <row r="627" ht="53.25" customHeight="1">
      <c r="B627" s="34"/>
    </row>
    <row r="628" ht="53.25" customHeight="1">
      <c r="B628" s="34"/>
    </row>
    <row r="629" ht="53.25" customHeight="1">
      <c r="B629" s="34"/>
    </row>
    <row r="630" ht="53.25" customHeight="1">
      <c r="B630" s="34"/>
    </row>
    <row r="631" ht="53.25" customHeight="1">
      <c r="B631" s="34"/>
    </row>
    <row r="632" ht="53.25" customHeight="1">
      <c r="B632" s="34"/>
    </row>
    <row r="633" ht="53.25" customHeight="1">
      <c r="B633" s="34"/>
    </row>
    <row r="634" ht="53.25" customHeight="1">
      <c r="B634" s="34"/>
    </row>
    <row r="635" ht="53.25" customHeight="1">
      <c r="B635" s="34"/>
    </row>
    <row r="636" ht="53.25" customHeight="1">
      <c r="B636" s="34"/>
    </row>
    <row r="637" ht="53.25" customHeight="1">
      <c r="B637" s="34"/>
    </row>
    <row r="638" ht="53.25" customHeight="1">
      <c r="B638" s="34"/>
    </row>
    <row r="639" ht="53.25" customHeight="1">
      <c r="B639" s="34"/>
    </row>
    <row r="640" ht="53.25" customHeight="1">
      <c r="B640" s="34"/>
    </row>
    <row r="641" ht="53.25" customHeight="1">
      <c r="B641" s="34"/>
    </row>
    <row r="642" ht="53.25" customHeight="1">
      <c r="B642" s="34"/>
    </row>
    <row r="643" ht="53.25" customHeight="1">
      <c r="B643" s="34"/>
    </row>
    <row r="644" ht="53.25" customHeight="1">
      <c r="B644" s="34"/>
    </row>
    <row r="645" ht="53.25" customHeight="1">
      <c r="B645" s="34"/>
    </row>
    <row r="646" ht="53.25" customHeight="1">
      <c r="B646" s="34"/>
    </row>
    <row r="647" ht="53.25" customHeight="1">
      <c r="B647" s="34"/>
    </row>
    <row r="648" ht="53.25" customHeight="1">
      <c r="B648" s="34"/>
    </row>
    <row r="649" ht="53.25" customHeight="1">
      <c r="B649" s="34"/>
    </row>
    <row r="650" ht="53.25" customHeight="1">
      <c r="B650" s="34"/>
    </row>
    <row r="651" ht="53.25" customHeight="1">
      <c r="B651" s="34"/>
    </row>
    <row r="652" ht="53.25" customHeight="1">
      <c r="B652" s="34"/>
    </row>
    <row r="653" ht="53.25" customHeight="1">
      <c r="B653" s="34"/>
    </row>
    <row r="654" ht="53.25" customHeight="1">
      <c r="B654" s="34"/>
    </row>
    <row r="655" ht="53.25" customHeight="1">
      <c r="B655" s="34"/>
    </row>
    <row r="656" ht="53.25" customHeight="1">
      <c r="B656" s="34"/>
    </row>
    <row r="657" ht="53.25" customHeight="1">
      <c r="B657" s="34"/>
    </row>
    <row r="658" ht="53.25" customHeight="1">
      <c r="B658" s="34"/>
    </row>
    <row r="659" ht="53.25" customHeight="1">
      <c r="B659" s="34"/>
    </row>
    <row r="660" ht="53.25" customHeight="1">
      <c r="B660" s="34"/>
    </row>
    <row r="661" ht="53.25" customHeight="1">
      <c r="B661" s="34"/>
    </row>
    <row r="662" ht="53.25" customHeight="1">
      <c r="B662" s="34"/>
    </row>
    <row r="663" ht="53.25" customHeight="1">
      <c r="B663" s="34"/>
    </row>
    <row r="664" ht="53.25" customHeight="1">
      <c r="B664" s="34"/>
    </row>
    <row r="665" ht="53.25" customHeight="1">
      <c r="B665" s="34"/>
    </row>
    <row r="666" ht="53.25" customHeight="1">
      <c r="B666" s="34"/>
    </row>
    <row r="667" ht="53.25" customHeight="1">
      <c r="B667" s="34"/>
    </row>
    <row r="668" ht="53.25" customHeight="1">
      <c r="B668" s="34"/>
    </row>
    <row r="669" ht="53.25" customHeight="1">
      <c r="B669" s="34"/>
    </row>
    <row r="670" ht="53.25" customHeight="1">
      <c r="B670" s="34"/>
    </row>
    <row r="671" ht="53.25" customHeight="1">
      <c r="B671" s="34"/>
    </row>
    <row r="672" ht="53.25" customHeight="1">
      <c r="B672" s="34"/>
    </row>
    <row r="673" ht="53.25" customHeight="1">
      <c r="B673" s="34"/>
    </row>
    <row r="674" ht="53.25" customHeight="1">
      <c r="B674" s="34"/>
    </row>
    <row r="675" ht="53.25" customHeight="1">
      <c r="B675" s="34"/>
    </row>
    <row r="676" ht="53.25" customHeight="1">
      <c r="B676" s="34"/>
    </row>
    <row r="677" ht="53.25" customHeight="1">
      <c r="B677" s="34"/>
    </row>
    <row r="678" ht="53.25" customHeight="1">
      <c r="B678" s="34"/>
    </row>
    <row r="679" ht="53.25" customHeight="1">
      <c r="B679" s="34"/>
    </row>
    <row r="680" ht="53.25" customHeight="1">
      <c r="B680" s="34"/>
    </row>
    <row r="681" ht="53.25" customHeight="1">
      <c r="B681" s="34"/>
    </row>
    <row r="682" ht="53.25" customHeight="1">
      <c r="B682" s="34"/>
    </row>
    <row r="683" ht="53.25" customHeight="1">
      <c r="B683" s="34"/>
    </row>
    <row r="684" ht="53.25" customHeight="1">
      <c r="B684" s="34"/>
    </row>
    <row r="685" ht="53.25" customHeight="1">
      <c r="B685" s="34"/>
    </row>
    <row r="686" ht="53.25" customHeight="1">
      <c r="B686" s="34"/>
    </row>
    <row r="687" ht="53.25" customHeight="1">
      <c r="B687" s="34"/>
    </row>
    <row r="688" ht="53.25" customHeight="1">
      <c r="B688" s="34"/>
    </row>
    <row r="689" ht="53.25" customHeight="1">
      <c r="B689" s="34"/>
    </row>
    <row r="690" ht="53.25" customHeight="1">
      <c r="B690" s="34"/>
    </row>
    <row r="691" ht="53.25" customHeight="1">
      <c r="B691" s="34"/>
    </row>
    <row r="692" ht="53.25" customHeight="1">
      <c r="B692" s="34"/>
    </row>
    <row r="693" ht="53.25" customHeight="1">
      <c r="B693" s="34"/>
    </row>
    <row r="694" ht="53.25" customHeight="1">
      <c r="B694" s="34"/>
    </row>
    <row r="695" ht="53.25" customHeight="1">
      <c r="B695" s="34"/>
    </row>
    <row r="696" ht="53.25" customHeight="1">
      <c r="B696" s="34"/>
    </row>
    <row r="697" ht="53.25" customHeight="1">
      <c r="B697" s="34"/>
    </row>
    <row r="698" ht="53.25" customHeight="1">
      <c r="B698" s="34"/>
    </row>
    <row r="699" ht="53.25" customHeight="1">
      <c r="B699" s="34"/>
    </row>
    <row r="700" ht="53.25" customHeight="1">
      <c r="B700" s="34"/>
    </row>
    <row r="701" ht="53.25" customHeight="1">
      <c r="B701" s="34"/>
    </row>
    <row r="702" ht="53.25" customHeight="1">
      <c r="B702" s="34"/>
    </row>
    <row r="703" ht="53.25" customHeight="1">
      <c r="B703" s="34"/>
    </row>
    <row r="704" ht="53.25" customHeight="1">
      <c r="B704" s="34"/>
    </row>
    <row r="705" ht="53.25" customHeight="1">
      <c r="B705" s="34"/>
    </row>
    <row r="706" ht="53.25" customHeight="1">
      <c r="B706" s="34"/>
    </row>
    <row r="707" ht="53.25" customHeight="1">
      <c r="B707" s="34"/>
    </row>
    <row r="708" ht="53.25" customHeight="1">
      <c r="B708" s="34"/>
    </row>
    <row r="709" ht="53.25" customHeight="1">
      <c r="B709" s="34"/>
    </row>
    <row r="710" ht="53.25" customHeight="1">
      <c r="B710" s="34"/>
    </row>
    <row r="711" ht="53.25" customHeight="1">
      <c r="B711" s="34"/>
    </row>
    <row r="712" ht="53.25" customHeight="1">
      <c r="B712" s="34"/>
    </row>
    <row r="713" ht="53.25" customHeight="1">
      <c r="B713" s="34"/>
    </row>
    <row r="714" ht="53.25" customHeight="1">
      <c r="B714" s="34"/>
    </row>
    <row r="715" ht="53.25" customHeight="1">
      <c r="B715" s="34"/>
    </row>
    <row r="716" ht="53.25" customHeight="1">
      <c r="B716" s="34"/>
    </row>
    <row r="717" ht="53.25" customHeight="1">
      <c r="B717" s="34"/>
    </row>
    <row r="718" ht="53.25" customHeight="1">
      <c r="B718" s="34"/>
    </row>
    <row r="719" ht="53.25" customHeight="1">
      <c r="B719" s="34"/>
    </row>
    <row r="720" ht="53.25" customHeight="1">
      <c r="B720" s="34"/>
    </row>
    <row r="721" ht="53.25" customHeight="1">
      <c r="B721" s="34"/>
    </row>
    <row r="722" ht="53.25" customHeight="1">
      <c r="B722" s="34"/>
    </row>
    <row r="723" ht="53.25" customHeight="1">
      <c r="B723" s="34"/>
    </row>
    <row r="724" ht="53.25" customHeight="1">
      <c r="B724" s="34"/>
    </row>
    <row r="725" ht="53.25" customHeight="1">
      <c r="B725" s="34"/>
    </row>
    <row r="726" ht="53.25" customHeight="1">
      <c r="B726" s="34"/>
    </row>
    <row r="727" ht="53.25" customHeight="1">
      <c r="B727" s="34"/>
    </row>
    <row r="728" ht="53.25" customHeight="1">
      <c r="B728" s="34"/>
    </row>
    <row r="729" ht="53.25" customHeight="1">
      <c r="B729" s="34"/>
    </row>
    <row r="730" ht="53.25" customHeight="1">
      <c r="B730" s="34"/>
    </row>
    <row r="731" ht="53.25" customHeight="1">
      <c r="B731" s="34"/>
    </row>
    <row r="732" ht="53.25" customHeight="1">
      <c r="B732" s="34"/>
    </row>
    <row r="733" ht="53.25" customHeight="1">
      <c r="B733" s="34"/>
    </row>
    <row r="734" ht="53.25" customHeight="1">
      <c r="B734" s="34"/>
    </row>
    <row r="735" ht="53.25" customHeight="1">
      <c r="B735" s="34"/>
    </row>
    <row r="736" ht="53.25" customHeight="1">
      <c r="B736" s="34"/>
    </row>
    <row r="737" ht="53.25" customHeight="1">
      <c r="B737" s="34"/>
    </row>
    <row r="738" ht="53.25" customHeight="1">
      <c r="B738" s="34"/>
    </row>
    <row r="739" ht="53.25" customHeight="1">
      <c r="B739" s="34"/>
    </row>
    <row r="740" ht="53.25" customHeight="1">
      <c r="B740" s="34"/>
    </row>
    <row r="741" ht="53.25" customHeight="1">
      <c r="B741" s="34"/>
    </row>
    <row r="742" ht="53.25" customHeight="1">
      <c r="B742" s="34"/>
    </row>
    <row r="743" ht="53.25" customHeight="1">
      <c r="B743" s="34"/>
    </row>
    <row r="744" ht="53.25" customHeight="1">
      <c r="B744" s="34"/>
    </row>
    <row r="745" ht="53.25" customHeight="1">
      <c r="B745" s="34"/>
    </row>
    <row r="746" ht="53.25" customHeight="1">
      <c r="B746" s="34"/>
    </row>
    <row r="747" ht="53.25" customHeight="1">
      <c r="B747" s="34"/>
    </row>
    <row r="748" ht="53.25" customHeight="1">
      <c r="B748" s="34"/>
    </row>
    <row r="749" ht="53.25" customHeight="1">
      <c r="B749" s="34"/>
    </row>
    <row r="750" ht="53.25" customHeight="1">
      <c r="B750" s="34"/>
    </row>
    <row r="751" ht="53.25" customHeight="1">
      <c r="B751" s="34"/>
    </row>
    <row r="752" ht="53.25" customHeight="1">
      <c r="B752" s="34"/>
    </row>
    <row r="753" ht="53.25" customHeight="1">
      <c r="B753" s="34"/>
    </row>
    <row r="754" ht="53.25" customHeight="1">
      <c r="B754" s="34"/>
    </row>
    <row r="755" ht="53.25" customHeight="1">
      <c r="B755" s="34"/>
    </row>
    <row r="756" ht="53.25" customHeight="1">
      <c r="B756" s="34"/>
    </row>
    <row r="757" ht="53.25" customHeight="1">
      <c r="B757" s="34"/>
    </row>
    <row r="758" ht="53.25" customHeight="1">
      <c r="B758" s="34"/>
    </row>
    <row r="759" ht="53.25" customHeight="1">
      <c r="B759" s="34"/>
    </row>
    <row r="760" ht="53.25" customHeight="1">
      <c r="B760" s="34"/>
    </row>
    <row r="761" ht="53.25" customHeight="1">
      <c r="B761" s="34"/>
    </row>
    <row r="762" ht="53.25" customHeight="1">
      <c r="B762" s="34"/>
    </row>
    <row r="763" ht="53.25" customHeight="1">
      <c r="B763" s="34"/>
    </row>
    <row r="764" ht="53.25" customHeight="1">
      <c r="B764" s="34"/>
    </row>
    <row r="765" ht="53.25" customHeight="1">
      <c r="B765" s="34"/>
    </row>
    <row r="766" ht="53.25" customHeight="1">
      <c r="B766" s="34"/>
    </row>
    <row r="767" ht="53.25" customHeight="1">
      <c r="B767" s="34"/>
    </row>
    <row r="768" ht="53.25" customHeight="1">
      <c r="B768" s="34"/>
    </row>
    <row r="769" ht="53.25" customHeight="1">
      <c r="B769" s="34"/>
    </row>
    <row r="770" ht="53.25" customHeight="1">
      <c r="B770" s="34"/>
    </row>
    <row r="771" ht="53.25" customHeight="1">
      <c r="B771" s="34"/>
    </row>
    <row r="772" ht="53.25" customHeight="1">
      <c r="B772" s="34"/>
    </row>
    <row r="773" ht="53.25" customHeight="1">
      <c r="B773" s="34"/>
    </row>
    <row r="774" ht="53.25" customHeight="1">
      <c r="B774" s="34"/>
    </row>
    <row r="775" ht="53.25" customHeight="1">
      <c r="B775" s="34"/>
    </row>
    <row r="776" ht="53.25" customHeight="1">
      <c r="B776" s="34"/>
    </row>
    <row r="777" ht="53.25" customHeight="1">
      <c r="B777" s="34"/>
    </row>
    <row r="778" ht="53.25" customHeight="1">
      <c r="B778" s="34"/>
    </row>
    <row r="779" ht="53.25" customHeight="1">
      <c r="B779" s="34"/>
    </row>
    <row r="780" ht="53.25" customHeight="1">
      <c r="B780" s="34"/>
    </row>
    <row r="781" ht="53.25" customHeight="1">
      <c r="B781" s="34"/>
    </row>
    <row r="782" ht="53.25" customHeight="1">
      <c r="B782" s="34"/>
    </row>
    <row r="783" ht="53.25" customHeight="1">
      <c r="B783" s="34"/>
    </row>
    <row r="784" ht="53.25" customHeight="1">
      <c r="B784" s="34"/>
    </row>
    <row r="785" ht="53.25" customHeight="1">
      <c r="B785" s="34"/>
    </row>
    <row r="786" ht="53.25" customHeight="1">
      <c r="B786" s="34"/>
    </row>
    <row r="787" ht="53.25" customHeight="1">
      <c r="B787" s="34"/>
    </row>
    <row r="788" ht="53.25" customHeight="1">
      <c r="B788" s="34"/>
    </row>
    <row r="789" ht="53.25" customHeight="1">
      <c r="B789" s="34"/>
    </row>
    <row r="790" ht="53.25" customHeight="1">
      <c r="B790" s="34"/>
    </row>
    <row r="791" ht="53.25" customHeight="1">
      <c r="B791" s="34"/>
    </row>
    <row r="792" ht="53.25" customHeight="1">
      <c r="B792" s="34"/>
    </row>
    <row r="793" ht="53.25" customHeight="1">
      <c r="B793" s="34"/>
    </row>
    <row r="794" ht="53.25" customHeight="1">
      <c r="B794" s="34"/>
    </row>
    <row r="795" ht="53.25" customHeight="1">
      <c r="B795" s="34"/>
    </row>
    <row r="796" ht="53.25" customHeight="1">
      <c r="B796" s="34"/>
    </row>
    <row r="797" ht="53.25" customHeight="1">
      <c r="B797" s="34"/>
    </row>
    <row r="798" ht="53.25" customHeight="1">
      <c r="B798" s="34"/>
    </row>
    <row r="799" ht="53.25" customHeight="1">
      <c r="B799" s="34"/>
    </row>
    <row r="800" ht="53.25" customHeight="1">
      <c r="B800" s="34"/>
    </row>
    <row r="801" ht="53.25" customHeight="1">
      <c r="B801" s="34"/>
    </row>
    <row r="802" ht="53.25" customHeight="1">
      <c r="B802" s="34"/>
    </row>
    <row r="803" ht="53.25" customHeight="1">
      <c r="B803" s="34"/>
    </row>
    <row r="804" ht="53.25" customHeight="1">
      <c r="B804" s="34"/>
    </row>
    <row r="805" ht="53.25" customHeight="1">
      <c r="B805" s="34"/>
    </row>
    <row r="806" ht="53.25" customHeight="1">
      <c r="B806" s="34"/>
    </row>
    <row r="807" ht="53.25" customHeight="1">
      <c r="B807" s="34"/>
    </row>
    <row r="808" ht="53.25" customHeight="1">
      <c r="B808" s="34"/>
    </row>
    <row r="809" ht="53.25" customHeight="1">
      <c r="B809" s="34"/>
    </row>
    <row r="810" ht="53.25" customHeight="1">
      <c r="B810" s="34"/>
    </row>
    <row r="811" ht="53.25" customHeight="1">
      <c r="B811" s="34"/>
    </row>
    <row r="812" ht="53.25" customHeight="1">
      <c r="B812" s="34"/>
    </row>
    <row r="813" ht="53.25" customHeight="1">
      <c r="B813" s="34"/>
    </row>
    <row r="814" ht="53.25" customHeight="1">
      <c r="B814" s="34"/>
    </row>
    <row r="815" ht="53.25" customHeight="1">
      <c r="B815" s="34"/>
    </row>
    <row r="816" ht="53.25" customHeight="1">
      <c r="B816" s="34"/>
    </row>
    <row r="817" ht="53.25" customHeight="1">
      <c r="B817" s="34"/>
    </row>
    <row r="818" ht="53.25" customHeight="1">
      <c r="B818" s="34"/>
    </row>
    <row r="819" ht="53.25" customHeight="1">
      <c r="B819" s="34"/>
    </row>
    <row r="820" ht="53.25" customHeight="1">
      <c r="B820" s="34"/>
    </row>
    <row r="821" ht="53.25" customHeight="1">
      <c r="B821" s="34"/>
    </row>
    <row r="822" ht="53.25" customHeight="1">
      <c r="B822" s="34"/>
    </row>
    <row r="823" ht="53.25" customHeight="1">
      <c r="B823" s="34"/>
    </row>
    <row r="824" ht="53.25" customHeight="1">
      <c r="B824" s="34"/>
    </row>
    <row r="825" ht="53.25" customHeight="1">
      <c r="B825" s="34"/>
    </row>
    <row r="826" ht="53.25" customHeight="1">
      <c r="B826" s="34"/>
    </row>
    <row r="827" ht="53.25" customHeight="1">
      <c r="B827" s="34"/>
    </row>
    <row r="828" ht="53.25" customHeight="1">
      <c r="B828" s="34"/>
    </row>
    <row r="829" ht="53.25" customHeight="1">
      <c r="B829" s="34"/>
    </row>
    <row r="830" ht="53.25" customHeight="1">
      <c r="B830" s="34"/>
    </row>
    <row r="831" ht="53.25" customHeight="1">
      <c r="B831" s="34"/>
    </row>
    <row r="832" ht="53.25" customHeight="1">
      <c r="B832" s="34"/>
    </row>
    <row r="833" ht="53.25" customHeight="1">
      <c r="B833" s="34"/>
    </row>
    <row r="834" ht="53.25" customHeight="1">
      <c r="B834" s="34"/>
    </row>
    <row r="835" ht="53.25" customHeight="1">
      <c r="B835" s="34"/>
    </row>
    <row r="836" ht="53.25" customHeight="1">
      <c r="B836" s="34"/>
    </row>
    <row r="837" ht="53.25" customHeight="1">
      <c r="B837" s="34"/>
    </row>
    <row r="838" ht="53.25" customHeight="1">
      <c r="B838" s="34"/>
    </row>
    <row r="839" ht="53.25" customHeight="1">
      <c r="B839" s="34"/>
    </row>
    <row r="840" ht="53.25" customHeight="1">
      <c r="B840" s="34"/>
    </row>
    <row r="841" ht="53.25" customHeight="1">
      <c r="B841" s="34"/>
    </row>
    <row r="842" ht="53.25" customHeight="1">
      <c r="B842" s="34"/>
    </row>
    <row r="843" ht="53.25" customHeight="1">
      <c r="B843" s="34"/>
    </row>
    <row r="844" ht="53.25" customHeight="1">
      <c r="B844" s="34"/>
    </row>
    <row r="845" ht="53.25" customHeight="1">
      <c r="B845" s="34"/>
    </row>
    <row r="846" ht="53.25" customHeight="1">
      <c r="B846" s="34"/>
    </row>
    <row r="847" ht="53.25" customHeight="1">
      <c r="B847" s="34"/>
    </row>
    <row r="848" ht="53.25" customHeight="1">
      <c r="B848" s="34"/>
    </row>
    <row r="849" ht="53.25" customHeight="1">
      <c r="B849" s="34"/>
    </row>
    <row r="850" ht="53.25" customHeight="1">
      <c r="B850" s="34"/>
    </row>
    <row r="851" ht="53.25" customHeight="1">
      <c r="B851" s="34"/>
    </row>
    <row r="852" ht="53.25" customHeight="1">
      <c r="B852" s="34"/>
    </row>
    <row r="853" ht="53.25" customHeight="1">
      <c r="B853" s="34"/>
    </row>
    <row r="854" ht="53.25" customHeight="1">
      <c r="B854" s="34"/>
    </row>
    <row r="855" ht="53.25" customHeight="1">
      <c r="B855" s="34"/>
    </row>
    <row r="856" ht="53.25" customHeight="1">
      <c r="B856" s="34"/>
    </row>
    <row r="857" ht="53.25" customHeight="1">
      <c r="B857" s="34"/>
    </row>
    <row r="858" ht="53.25" customHeight="1">
      <c r="B858" s="34"/>
    </row>
    <row r="859" ht="53.25" customHeight="1">
      <c r="B859" s="34"/>
    </row>
    <row r="860" ht="53.25" customHeight="1">
      <c r="B860" s="34"/>
    </row>
    <row r="861" ht="53.25" customHeight="1">
      <c r="B861" s="34"/>
    </row>
    <row r="862" ht="53.25" customHeight="1">
      <c r="B862" s="34"/>
    </row>
    <row r="863" ht="53.25" customHeight="1">
      <c r="B863" s="34"/>
    </row>
    <row r="864" ht="53.25" customHeight="1">
      <c r="B864" s="34"/>
    </row>
    <row r="865" ht="53.25" customHeight="1">
      <c r="B865" s="34"/>
    </row>
    <row r="866" ht="53.25" customHeight="1">
      <c r="B866" s="34"/>
    </row>
    <row r="867" ht="53.25" customHeight="1">
      <c r="B867" s="34"/>
    </row>
    <row r="868" ht="53.25" customHeight="1">
      <c r="B868" s="34"/>
    </row>
    <row r="869" ht="53.25" customHeight="1">
      <c r="B869" s="34"/>
    </row>
    <row r="870" ht="53.25" customHeight="1">
      <c r="B870" s="34"/>
    </row>
    <row r="871" ht="53.25" customHeight="1">
      <c r="B871" s="34"/>
    </row>
    <row r="872" ht="53.25" customHeight="1">
      <c r="B872" s="34"/>
    </row>
    <row r="873" ht="53.25" customHeight="1">
      <c r="B873" s="34"/>
    </row>
    <row r="874" ht="53.25" customHeight="1">
      <c r="B874" s="34"/>
    </row>
    <row r="875" ht="53.25" customHeight="1">
      <c r="B875" s="34"/>
    </row>
    <row r="876" ht="53.25" customHeight="1">
      <c r="B876" s="34"/>
    </row>
    <row r="877" ht="53.25" customHeight="1">
      <c r="B877" s="34"/>
    </row>
    <row r="878" ht="53.25" customHeight="1">
      <c r="B878" s="34"/>
    </row>
    <row r="879" ht="53.25" customHeight="1">
      <c r="B879" s="34"/>
    </row>
    <row r="880" ht="53.25" customHeight="1">
      <c r="B880" s="34"/>
    </row>
    <row r="881" ht="53.25" customHeight="1">
      <c r="B881" s="34"/>
    </row>
    <row r="882" ht="53.25" customHeight="1">
      <c r="B882" s="34"/>
    </row>
    <row r="883" ht="53.25" customHeight="1">
      <c r="B883" s="34"/>
    </row>
    <row r="884" ht="53.25" customHeight="1">
      <c r="B884" s="34"/>
    </row>
    <row r="885" ht="53.25" customHeight="1">
      <c r="B885" s="34"/>
    </row>
    <row r="886" ht="53.25" customHeight="1">
      <c r="B886" s="34"/>
    </row>
    <row r="887" ht="53.25" customHeight="1">
      <c r="B887" s="34"/>
    </row>
    <row r="888" ht="53.25" customHeight="1">
      <c r="B888" s="34"/>
    </row>
    <row r="889" ht="53.25" customHeight="1">
      <c r="B889" s="34"/>
    </row>
    <row r="890" ht="53.25" customHeight="1">
      <c r="B890" s="34"/>
    </row>
    <row r="891" ht="53.25" customHeight="1">
      <c r="B891" s="34"/>
    </row>
    <row r="892" ht="53.25" customHeight="1">
      <c r="B892" s="34"/>
    </row>
    <row r="893" ht="53.25" customHeight="1">
      <c r="B893" s="34"/>
    </row>
    <row r="894" ht="53.25" customHeight="1">
      <c r="B894" s="34"/>
    </row>
    <row r="895" ht="53.25" customHeight="1">
      <c r="B895" s="34"/>
    </row>
    <row r="896" ht="53.25" customHeight="1">
      <c r="B896" s="34"/>
    </row>
    <row r="897" ht="53.25" customHeight="1">
      <c r="B897" s="34"/>
    </row>
    <row r="898" ht="53.25" customHeight="1">
      <c r="B898" s="34"/>
    </row>
    <row r="899" ht="53.25" customHeight="1">
      <c r="B899" s="34"/>
    </row>
    <row r="900" ht="53.25" customHeight="1">
      <c r="B900" s="34"/>
    </row>
    <row r="901" ht="53.25" customHeight="1">
      <c r="B901" s="34"/>
    </row>
    <row r="902" ht="53.25" customHeight="1">
      <c r="B902" s="34"/>
    </row>
    <row r="903" ht="53.25" customHeight="1">
      <c r="B903" s="34"/>
    </row>
    <row r="904" ht="53.25" customHeight="1">
      <c r="B904" s="34"/>
    </row>
    <row r="905" ht="53.25" customHeight="1">
      <c r="B905" s="34"/>
    </row>
    <row r="906" ht="53.25" customHeight="1">
      <c r="B906" s="34"/>
    </row>
    <row r="907" ht="53.25" customHeight="1">
      <c r="B907" s="34"/>
    </row>
    <row r="908" ht="53.25" customHeight="1">
      <c r="B908" s="34"/>
    </row>
    <row r="909" ht="53.25" customHeight="1">
      <c r="B909" s="34"/>
    </row>
    <row r="910" ht="53.25" customHeight="1">
      <c r="B910" s="34"/>
    </row>
    <row r="911" ht="53.25" customHeight="1">
      <c r="B911" s="34"/>
    </row>
    <row r="912" ht="53.25" customHeight="1">
      <c r="B912" s="34"/>
    </row>
    <row r="913" ht="53.25" customHeight="1">
      <c r="B913" s="34"/>
    </row>
    <row r="914" ht="53.25" customHeight="1">
      <c r="B914" s="34"/>
    </row>
    <row r="915" ht="53.25" customHeight="1">
      <c r="B915" s="34"/>
    </row>
    <row r="916" ht="53.25" customHeight="1">
      <c r="B916" s="34"/>
    </row>
    <row r="917" ht="53.25" customHeight="1">
      <c r="B917" s="34"/>
    </row>
    <row r="918" ht="53.25" customHeight="1">
      <c r="B918" s="34"/>
    </row>
    <row r="919" ht="53.25" customHeight="1">
      <c r="B919" s="34"/>
    </row>
    <row r="920" ht="53.25" customHeight="1">
      <c r="B920" s="34"/>
    </row>
    <row r="921" ht="53.25" customHeight="1">
      <c r="B921" s="34"/>
    </row>
    <row r="922" ht="53.25" customHeight="1">
      <c r="B922" s="34"/>
    </row>
    <row r="923" ht="53.25" customHeight="1">
      <c r="B923" s="34"/>
    </row>
    <row r="924" ht="53.25" customHeight="1">
      <c r="B924" s="34"/>
    </row>
    <row r="925" ht="53.25" customHeight="1">
      <c r="B925" s="34"/>
    </row>
    <row r="926" ht="53.25" customHeight="1">
      <c r="B926" s="34"/>
    </row>
    <row r="927" ht="53.25" customHeight="1">
      <c r="B927" s="34"/>
    </row>
    <row r="928" ht="53.25" customHeight="1">
      <c r="B928" s="34"/>
    </row>
    <row r="929" ht="53.25" customHeight="1">
      <c r="B929" s="34"/>
    </row>
    <row r="930" ht="53.25" customHeight="1">
      <c r="B930" s="34"/>
    </row>
    <row r="931" ht="53.25" customHeight="1">
      <c r="B931" s="34"/>
    </row>
    <row r="932" ht="53.25" customHeight="1">
      <c r="B932" s="34"/>
    </row>
    <row r="933" ht="53.25" customHeight="1">
      <c r="B933" s="34"/>
    </row>
    <row r="934" ht="53.25" customHeight="1">
      <c r="B934" s="34"/>
    </row>
    <row r="935" ht="53.25" customHeight="1">
      <c r="B935" s="34"/>
    </row>
    <row r="936" ht="53.25" customHeight="1">
      <c r="B936" s="34"/>
    </row>
    <row r="937" ht="53.25" customHeight="1">
      <c r="B937" s="34"/>
    </row>
    <row r="938" ht="53.25" customHeight="1">
      <c r="B938" s="34"/>
    </row>
    <row r="939" ht="53.25" customHeight="1">
      <c r="B939" s="34"/>
    </row>
    <row r="940" ht="53.25" customHeight="1">
      <c r="B940" s="34"/>
    </row>
    <row r="941" ht="53.25" customHeight="1">
      <c r="B941" s="34"/>
    </row>
    <row r="942" ht="53.25" customHeight="1">
      <c r="B942" s="34"/>
    </row>
    <row r="943" ht="53.25" customHeight="1">
      <c r="B943" s="34"/>
    </row>
    <row r="944" ht="53.25" customHeight="1">
      <c r="B944" s="34"/>
    </row>
    <row r="945" ht="53.25" customHeight="1">
      <c r="B945" s="34"/>
    </row>
    <row r="946" ht="53.25" customHeight="1">
      <c r="B946" s="34"/>
    </row>
    <row r="947" ht="53.25" customHeight="1">
      <c r="B947" s="34"/>
    </row>
    <row r="948" ht="53.25" customHeight="1">
      <c r="B948" s="34"/>
    </row>
    <row r="949" ht="53.25" customHeight="1">
      <c r="B949" s="34"/>
    </row>
    <row r="950" ht="53.25" customHeight="1">
      <c r="B950" s="34"/>
    </row>
    <row r="951" ht="53.25" customHeight="1">
      <c r="B951" s="34"/>
    </row>
    <row r="952" ht="53.25" customHeight="1">
      <c r="B952" s="34"/>
    </row>
    <row r="953" ht="53.25" customHeight="1">
      <c r="B953" s="34"/>
    </row>
    <row r="954" ht="53.25" customHeight="1">
      <c r="B954" s="34"/>
    </row>
    <row r="955" ht="53.25" customHeight="1">
      <c r="B955" s="34"/>
    </row>
    <row r="956" ht="53.25" customHeight="1">
      <c r="B956" s="34"/>
    </row>
    <row r="957" ht="53.25" customHeight="1">
      <c r="B957" s="34"/>
    </row>
    <row r="958" ht="53.25" customHeight="1">
      <c r="B958" s="34"/>
    </row>
    <row r="959" ht="53.25" customHeight="1">
      <c r="B959" s="34"/>
    </row>
    <row r="960" ht="53.25" customHeight="1">
      <c r="B960" s="34"/>
    </row>
    <row r="961" ht="53.25" customHeight="1">
      <c r="B961" s="34"/>
    </row>
    <row r="962" ht="53.25" customHeight="1">
      <c r="B962" s="34"/>
    </row>
    <row r="963" ht="53.25" customHeight="1">
      <c r="B963" s="34"/>
    </row>
    <row r="964" ht="53.25" customHeight="1">
      <c r="B964" s="34"/>
    </row>
    <row r="965" ht="53.25" customHeight="1">
      <c r="B965" s="34"/>
    </row>
    <row r="966" ht="53.25" customHeight="1">
      <c r="B966" s="34"/>
    </row>
    <row r="967" ht="53.25" customHeight="1">
      <c r="B967" s="34"/>
    </row>
    <row r="968" ht="53.25" customHeight="1">
      <c r="B968" s="34"/>
    </row>
    <row r="969" ht="53.25" customHeight="1">
      <c r="B969" s="34"/>
    </row>
    <row r="970" ht="53.25" customHeight="1">
      <c r="B970" s="34"/>
    </row>
    <row r="971" ht="53.25" customHeight="1">
      <c r="B971" s="34"/>
    </row>
    <row r="972" ht="53.25" customHeight="1">
      <c r="B972" s="34"/>
    </row>
    <row r="973" ht="53.25" customHeight="1">
      <c r="B973" s="34"/>
    </row>
    <row r="974" ht="53.25" customHeight="1">
      <c r="B974" s="34"/>
    </row>
    <row r="975" ht="53.25" customHeight="1">
      <c r="B975" s="34"/>
    </row>
    <row r="976" ht="53.25" customHeight="1">
      <c r="B976" s="34"/>
    </row>
    <row r="977" ht="53.25" customHeight="1">
      <c r="B977" s="34"/>
    </row>
    <row r="978" ht="53.25" customHeight="1">
      <c r="B978" s="34"/>
    </row>
    <row r="979" ht="53.25" customHeight="1">
      <c r="B979" s="34"/>
    </row>
    <row r="980" ht="53.25" customHeight="1">
      <c r="B980" s="34"/>
    </row>
    <row r="981" ht="53.25" customHeight="1">
      <c r="B981" s="34"/>
    </row>
    <row r="982" ht="53.25" customHeight="1">
      <c r="B982" s="34"/>
    </row>
    <row r="983" ht="53.25" customHeight="1">
      <c r="B983" s="34"/>
    </row>
    <row r="984" ht="53.25" customHeight="1">
      <c r="B984" s="34"/>
    </row>
    <row r="985" ht="53.25" customHeight="1">
      <c r="B985" s="34"/>
    </row>
    <row r="986" ht="53.25" customHeight="1">
      <c r="B986" s="34"/>
    </row>
    <row r="987" ht="53.25" customHeight="1">
      <c r="B987" s="34"/>
    </row>
    <row r="988" ht="53.25" customHeight="1">
      <c r="B988" s="34"/>
    </row>
    <row r="989" ht="53.25" customHeight="1">
      <c r="B989" s="34"/>
    </row>
    <row r="990" ht="53.25" customHeight="1">
      <c r="B990" s="34"/>
    </row>
    <row r="991" ht="53.25" customHeight="1">
      <c r="B991" s="34"/>
    </row>
    <row r="992" ht="53.25" customHeight="1">
      <c r="B992" s="34"/>
    </row>
    <row r="993" ht="53.25" customHeight="1">
      <c r="B993" s="34"/>
    </row>
    <row r="994" ht="53.25" customHeight="1">
      <c r="B994" s="34"/>
    </row>
    <row r="995" ht="53.25" customHeight="1">
      <c r="B995" s="34"/>
    </row>
    <row r="996" ht="53.25" customHeight="1">
      <c r="B996" s="34"/>
    </row>
    <row r="997" ht="53.25" customHeight="1">
      <c r="B997" s="34"/>
    </row>
    <row r="998" ht="53.25" customHeight="1">
      <c r="B998" s="34"/>
    </row>
    <row r="999" ht="53.25" customHeight="1">
      <c r="B999" s="34"/>
    </row>
    <row r="1000" ht="53.25" customHeight="1">
      <c r="B1000" s="34"/>
    </row>
    <row r="1001" ht="53.25" customHeight="1">
      <c r="B1001" s="34"/>
    </row>
    <row r="1002" ht="53.25" customHeight="1">
      <c r="B1002" s="34"/>
    </row>
    <row r="1003" ht="53.25" customHeight="1">
      <c r="B1003" s="34"/>
    </row>
    <row r="1004" ht="53.25" customHeight="1">
      <c r="B1004" s="34"/>
    </row>
    <row r="1005" ht="53.25" customHeight="1">
      <c r="B1005" s="34"/>
    </row>
    <row r="1006" ht="53.25" customHeight="1">
      <c r="B1006" s="34"/>
    </row>
    <row r="1007" ht="53.25" customHeight="1">
      <c r="B1007" s="34"/>
    </row>
  </sheetData>
  <printOptions/>
  <pageMargins bottom="1.0" footer="0.0" header="0.0" left="0.75" right="0.75" top="1.0"/>
  <pageSetup orientation="landscape"/>
  <drawing r:id="rId4"/>
  <legacyDrawing r:id="rId5"/>
</worksheet>
</file>