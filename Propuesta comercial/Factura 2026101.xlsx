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macbookwilly/Desktop/Archivo Rafael Zarza/Propuesta comercial/"/>
    </mc:Choice>
  </mc:AlternateContent>
  <xr:revisionPtr revIDLastSave="0" documentId="13_ncr:1_{524A402D-843C-3447-96A7-2463F9E75854}" xr6:coauthVersionLast="46" xr6:coauthVersionMax="46" xr10:uidLastSave="{00000000-0000-0000-0000-000000000000}"/>
  <bookViews>
    <workbookView xWindow="0" yWindow="500" windowWidth="38400" windowHeight="21100" xr2:uid="{00000000-000D-0000-FFFF-FFFF00000000}"/>
  </bookViews>
  <sheets>
    <sheet name="2026101" sheetId="1" r:id="rId1"/>
  </sheets>
  <calcPr calcId="191029"/>
  <extLst>
    <ext uri="GoogleSheetsCustomDataVersion2">
      <go:sheetsCustomData xmlns:go="http://customooxmlschemas.google.com/" r:id="rId7" roundtripDataChecksum="ST6wUZ0K+Xci64B9FhncKZtpRM4LkWJoL/ODXL/+S+s="/>
    </ext>
  </extLst>
</workbook>
</file>

<file path=xl/calcChain.xml><?xml version="1.0" encoding="utf-8"?>
<calcChain xmlns="http://schemas.openxmlformats.org/spreadsheetml/2006/main">
  <c r="O22" i="1" l="1"/>
  <c r="O19" i="1"/>
  <c r="O15" i="1"/>
  <c r="O11" i="1"/>
  <c r="O30" i="1" l="1"/>
  <c r="O32" i="1" s="1"/>
  <c r="O31" i="1" l="1"/>
  <c r="N34" i="1"/>
</calcChain>
</file>

<file path=xl/sharedStrings.xml><?xml version="1.0" encoding="utf-8"?>
<sst xmlns="http://schemas.openxmlformats.org/spreadsheetml/2006/main" count="31" uniqueCount="30">
  <si>
    <t>FACTURA</t>
  </si>
  <si>
    <t>CONCEPTO</t>
  </si>
  <si>
    <t>UDS.</t>
  </si>
  <si>
    <t>PRECIO</t>
  </si>
  <si>
    <t>TOTAL</t>
  </si>
  <si>
    <t>CLIENTE</t>
  </si>
  <si>
    <t>Proveedor:</t>
  </si>
  <si>
    <t>Sub Total</t>
  </si>
  <si>
    <r>
      <rPr>
        <sz val="10"/>
        <color rgb="FF252525"/>
        <rFont val="Lato"/>
      </rPr>
      <t>Guillermo Alonso del Real Nicolás</t>
    </r>
    <r>
      <rPr>
        <sz val="11"/>
        <color theme="1"/>
        <rFont val="Lato"/>
      </rPr>
      <t xml:space="preserve"> </t>
    </r>
  </si>
  <si>
    <t xml:space="preserve">I.V.A. </t>
  </si>
  <si>
    <r>
      <rPr>
        <sz val="10"/>
        <color rgb="FF252525"/>
        <rFont val="Lato"/>
      </rPr>
      <t>NIF</t>
    </r>
    <r>
      <rPr>
        <sz val="11"/>
        <color theme="1"/>
        <rFont val="Lato"/>
      </rPr>
      <t xml:space="preserve"> : 33525676W</t>
    </r>
  </si>
  <si>
    <t xml:space="preserve">IRPF </t>
  </si>
  <si>
    <t>Cuenta bancaria:</t>
  </si>
  <si>
    <r>
      <rPr>
        <sz val="10"/>
        <color rgb="FF252525"/>
        <rFont val="Lato"/>
      </rPr>
      <t>Entidad</t>
    </r>
    <r>
      <rPr>
        <sz val="11"/>
        <color theme="1"/>
        <rFont val="Lato"/>
      </rPr>
      <t xml:space="preserve"> : </t>
    </r>
  </si>
  <si>
    <t>La Caixa</t>
  </si>
  <si>
    <t xml:space="preserve">                                gadelreal@gmail.com             699 983 581</t>
  </si>
  <si>
    <t xml:space="preserve">  Número 2026101 - 3-08-202026</t>
  </si>
  <si>
    <t xml:space="preserve">Fundación CEDCS </t>
  </si>
  <si>
    <t xml:space="preserve">(Centro Europeo para la Difusión </t>
  </si>
  <si>
    <t>de las Ciencias Sociales)</t>
  </si>
  <si>
    <t>NIF: G-88527450</t>
  </si>
  <si>
    <t>Calle San Diego, 15, 28801 Alcalá de Henares (Madrid)</t>
  </si>
  <si>
    <t>Archivado y buscador web Archivo Zarza</t>
  </si>
  <si>
    <t>Servicios de archivado y creación de buscador web</t>
  </si>
  <si>
    <t>Desplazamiento y dietas</t>
  </si>
  <si>
    <t>Mobiliario</t>
  </si>
  <si>
    <t>Materiales archivado</t>
  </si>
  <si>
    <t>Calle Escoberos , Número 4, Primero A, 41002, SEVILLA</t>
  </si>
  <si>
    <t>ES22 2100 8415 5102 0007 0403</t>
  </si>
  <si>
    <t>IBAN: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</si>
</sst>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C0A]_-;\-* #,##0.00\ [$€-C0A]_-;_-* &quot;-&quot;??\ [$€-C0A]_-;_-@"/>
    <numFmt numFmtId="165" formatCode="d/m/yyyy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35"/>
      <color rgb="FF414142"/>
      <name val="Lato"/>
    </font>
    <font>
      <sz val="11"/>
      <name val="Calibri"/>
      <family val="2"/>
    </font>
    <font>
      <sz val="14"/>
      <color rgb="FF58595A"/>
      <name val="Lato"/>
    </font>
    <font>
      <sz val="13"/>
      <color rgb="FF58595A"/>
      <name val="Lato"/>
    </font>
    <font>
      <sz val="10"/>
      <color rgb="FF58595A"/>
      <name val="Lato"/>
    </font>
    <font>
      <sz val="13"/>
      <color rgb="FF414142"/>
      <name val="Lato"/>
    </font>
    <font>
      <sz val="8"/>
      <color rgb="FF808285"/>
      <name val="Lato"/>
    </font>
    <font>
      <sz val="10"/>
      <color rgb="FF58595A"/>
      <name val="Roboto"/>
    </font>
    <font>
      <sz val="8"/>
      <color rgb="FF58595A"/>
      <name val="Lato"/>
    </font>
    <font>
      <sz val="10"/>
      <color rgb="FFFFFFFF"/>
      <name val="Lato"/>
    </font>
    <font>
      <sz val="10"/>
      <color rgb="FF252525"/>
      <name val="Lato"/>
    </font>
    <font>
      <sz val="8"/>
      <color rgb="FF414042"/>
      <name val="Lato"/>
    </font>
    <font>
      <sz val="8"/>
      <color rgb="FF6D6E71"/>
      <name val="Lato"/>
    </font>
    <font>
      <sz val="13"/>
      <color rgb="FFFFFFFF"/>
      <name val="Lato"/>
    </font>
    <font>
      <sz val="8"/>
      <color theme="1"/>
      <name val="Lato"/>
    </font>
    <font>
      <sz val="10"/>
      <color rgb="FF4D4D4F"/>
      <name val="Lato"/>
    </font>
    <font>
      <sz val="9"/>
      <color rgb="FF4D4D4F"/>
      <name val="Lato"/>
    </font>
    <font>
      <sz val="8"/>
      <color rgb="FF414142"/>
      <name val="Lato"/>
    </font>
    <font>
      <b/>
      <sz val="10"/>
      <color rgb="FF414142"/>
      <name val="Lato"/>
    </font>
    <font>
      <sz val="9"/>
      <color rgb="FF414142"/>
      <name val="Lato"/>
    </font>
    <font>
      <sz val="13"/>
      <color rgb="FF939598"/>
      <name val="Lato"/>
    </font>
    <font>
      <sz val="11"/>
      <color theme="1"/>
      <name val="Lato"/>
    </font>
    <font>
      <sz val="8"/>
      <color theme="1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14042"/>
        <bgColor rgb="FF414042"/>
      </patternFill>
    </fill>
    <fill>
      <patternFill patternType="solid">
        <fgColor rgb="FF3F3F3F"/>
        <bgColor rgb="FF3F3F3F"/>
      </patternFill>
    </fill>
    <fill>
      <patternFill patternType="solid">
        <fgColor theme="0"/>
        <bgColor theme="0"/>
      </patternFill>
    </fill>
    <fill>
      <patternFill patternType="solid">
        <fgColor rgb="FFE6E7E8"/>
        <bgColor rgb="FFE6E7E8"/>
      </patternFill>
    </fill>
    <fill>
      <patternFill patternType="solid">
        <fgColor rgb="FFE7E6E6"/>
        <bgColor rgb="FFE7E6E6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 applyAlignment="1">
      <alignment vertical="center"/>
    </xf>
    <xf numFmtId="0" fontId="1" fillId="5" borderId="1" xfId="0" applyFont="1" applyFill="1" applyBorder="1"/>
    <xf numFmtId="0" fontId="5" fillId="5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right" vertical="center"/>
    </xf>
    <xf numFmtId="164" fontId="1" fillId="5" borderId="1" xfId="0" applyNumberFormat="1" applyFont="1" applyFill="1" applyBorder="1"/>
    <xf numFmtId="0" fontId="1" fillId="6" borderId="1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/>
    <xf numFmtId="164" fontId="11" fillId="2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/>
    </xf>
    <xf numFmtId="9" fontId="11" fillId="2" borderId="1" xfId="0" applyNumberFormat="1" applyFont="1" applyFill="1" applyBorder="1" applyAlignment="1">
      <alignment horizontal="left"/>
    </xf>
    <xf numFmtId="0" fontId="14" fillId="4" borderId="1" xfId="0" applyFont="1" applyFill="1" applyBorder="1" applyAlignment="1">
      <alignment vertical="center"/>
    </xf>
    <xf numFmtId="0" fontId="12" fillId="4" borderId="1" xfId="0" applyFont="1" applyFill="1" applyBorder="1"/>
    <xf numFmtId="0" fontId="11" fillId="2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/>
    </xf>
    <xf numFmtId="0" fontId="19" fillId="4" borderId="1" xfId="0" applyFont="1" applyFill="1" applyBorder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6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0" fillId="5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49" fontId="19" fillId="4" borderId="2" xfId="0" applyNumberFormat="1" applyFont="1" applyFill="1" applyBorder="1" applyAlignment="1">
      <alignment horizontal="left"/>
    </xf>
    <xf numFmtId="0" fontId="19" fillId="4" borderId="2" xfId="0" applyFont="1" applyFill="1" applyBorder="1" applyAlignment="1">
      <alignment horizontal="left"/>
    </xf>
    <xf numFmtId="49" fontId="19" fillId="4" borderId="2" xfId="0" applyNumberFormat="1" applyFont="1" applyFill="1" applyBorder="1" applyAlignment="1">
      <alignment horizontal="left" vertical="top"/>
    </xf>
    <xf numFmtId="0" fontId="19" fillId="4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/>
    </xf>
    <xf numFmtId="0" fontId="17" fillId="4" borderId="2" xfId="0" applyFont="1" applyFill="1" applyBorder="1" applyAlignment="1">
      <alignment horizontal="right"/>
    </xf>
    <xf numFmtId="0" fontId="18" fillId="4" borderId="2" xfId="0" applyFont="1" applyFill="1" applyBorder="1" applyAlignment="1">
      <alignment horizontal="right"/>
    </xf>
    <xf numFmtId="0" fontId="6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top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10" fillId="5" borderId="5" xfId="0" applyFont="1" applyFill="1" applyBorder="1" applyAlignment="1">
      <alignment horizontal="left" vertical="top" wrapText="1"/>
    </xf>
    <xf numFmtId="0" fontId="3" fillId="0" borderId="9" xfId="0" applyFont="1" applyBorder="1"/>
    <xf numFmtId="0" fontId="3" fillId="0" borderId="12" xfId="0" applyFont="1" applyBorder="1"/>
    <xf numFmtId="0" fontId="6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top"/>
    </xf>
    <xf numFmtId="164" fontId="9" fillId="5" borderId="2" xfId="0" applyNumberFormat="1" applyFont="1" applyFill="1" applyBorder="1" applyAlignment="1">
      <alignment horizontal="center" vertical="top"/>
    </xf>
    <xf numFmtId="0" fontId="15" fillId="2" borderId="2" xfId="0" applyFont="1" applyFill="1" applyBorder="1" applyAlignment="1">
      <alignment horizontal="left" vertical="center"/>
    </xf>
    <xf numFmtId="164" fontId="15" fillId="2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center" vertical="center"/>
    </xf>
    <xf numFmtId="0" fontId="24" fillId="5" borderId="1" xfId="0" applyFont="1" applyFill="1" applyBorder="1"/>
    <xf numFmtId="0" fontId="25" fillId="0" borderId="4" xfId="0" applyFont="1" applyBorder="1"/>
    <xf numFmtId="0" fontId="3" fillId="0" borderId="4" xfId="0" applyFon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476250</xdr:colOff>
      <xdr:row>44</xdr:row>
      <xdr:rowOff>9525</xdr:rowOff>
    </xdr:from>
    <xdr:ext cx="104775" cy="152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98375" y="3708563"/>
          <a:ext cx="95250" cy="142875"/>
        </a:xfrm>
        <a:custGeom>
          <a:avLst/>
          <a:gdLst/>
          <a:ahLst/>
          <a:cxnLst/>
          <a:rect l="l" t="t" r="r" b="b"/>
          <a:pathLst>
            <a:path w="29" h="42" extrusionOk="0">
              <a:moveTo>
                <a:pt x="14" y="0"/>
              </a:moveTo>
              <a:cubicBezTo>
                <a:pt x="6" y="0"/>
                <a:pt x="0" y="7"/>
                <a:pt x="0" y="15"/>
              </a:cubicBezTo>
              <a:cubicBezTo>
                <a:pt x="0" y="26"/>
                <a:pt x="14" y="42"/>
                <a:pt x="14" y="42"/>
              </a:cubicBezTo>
              <a:cubicBezTo>
                <a:pt x="14" y="42"/>
                <a:pt x="29" y="26"/>
                <a:pt x="29" y="15"/>
              </a:cubicBezTo>
              <a:cubicBezTo>
                <a:pt x="29" y="7"/>
                <a:pt x="22" y="0"/>
                <a:pt x="14" y="0"/>
              </a:cubicBezTo>
              <a:close/>
              <a:moveTo>
                <a:pt x="14" y="20"/>
              </a:moveTo>
              <a:cubicBezTo>
                <a:pt x="11" y="20"/>
                <a:pt x="9" y="18"/>
                <a:pt x="9" y="15"/>
              </a:cubicBezTo>
              <a:cubicBezTo>
                <a:pt x="9" y="12"/>
                <a:pt x="11" y="10"/>
                <a:pt x="14" y="10"/>
              </a:cubicBezTo>
              <a:cubicBezTo>
                <a:pt x="17" y="10"/>
                <a:pt x="19" y="12"/>
                <a:pt x="19" y="15"/>
              </a:cubicBezTo>
              <a:cubicBezTo>
                <a:pt x="19" y="18"/>
                <a:pt x="17" y="20"/>
                <a:pt x="14" y="20"/>
              </a:cubicBezTo>
              <a:close/>
            </a:path>
          </a:pathLst>
        </a:custGeom>
        <a:solidFill>
          <a:srgbClr val="414042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     </a:t>
          </a:r>
          <a:endParaRPr sz="1400"/>
        </a:p>
      </xdr:txBody>
    </xdr:sp>
    <xdr:clientData fLocksWithSheet="0"/>
  </xdr:oneCellAnchor>
  <xdr:oneCellAnchor>
    <xdr:from>
      <xdr:col>14</xdr:col>
      <xdr:colOff>228600</xdr:colOff>
      <xdr:row>44</xdr:row>
      <xdr:rowOff>0</xdr:rowOff>
    </xdr:from>
    <xdr:ext cx="95250" cy="142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303138" y="3713325"/>
          <a:ext cx="85725" cy="133350"/>
        </a:xfrm>
        <a:custGeom>
          <a:avLst/>
          <a:gdLst/>
          <a:ahLst/>
          <a:cxnLst/>
          <a:rect l="l" t="t" r="r" b="b"/>
          <a:pathLst>
            <a:path w="25" h="43" extrusionOk="0">
              <a:moveTo>
                <a:pt x="22" y="0"/>
              </a:moveTo>
              <a:cubicBezTo>
                <a:pt x="3" y="0"/>
                <a:pt x="3" y="0"/>
                <a:pt x="3" y="0"/>
              </a:cubicBezTo>
              <a:cubicBezTo>
                <a:pt x="1" y="0"/>
                <a:pt x="0" y="1"/>
                <a:pt x="0" y="3"/>
              </a:cubicBezTo>
              <a:cubicBezTo>
                <a:pt x="0" y="40"/>
                <a:pt x="0" y="40"/>
                <a:pt x="0" y="40"/>
              </a:cubicBezTo>
              <a:cubicBezTo>
                <a:pt x="0" y="41"/>
                <a:pt x="1" y="43"/>
                <a:pt x="3" y="43"/>
              </a:cubicBezTo>
              <a:cubicBezTo>
                <a:pt x="22" y="43"/>
                <a:pt x="22" y="43"/>
                <a:pt x="22" y="43"/>
              </a:cubicBezTo>
              <a:cubicBezTo>
                <a:pt x="23" y="43"/>
                <a:pt x="25" y="41"/>
                <a:pt x="25" y="40"/>
              </a:cubicBezTo>
              <a:cubicBezTo>
                <a:pt x="25" y="3"/>
                <a:pt x="25" y="3"/>
                <a:pt x="25" y="3"/>
              </a:cubicBezTo>
              <a:cubicBezTo>
                <a:pt x="25" y="1"/>
                <a:pt x="23" y="0"/>
                <a:pt x="22" y="0"/>
              </a:cubicBezTo>
              <a:close/>
              <a:moveTo>
                <a:pt x="9" y="2"/>
              </a:moveTo>
              <a:cubicBezTo>
                <a:pt x="15" y="2"/>
                <a:pt x="15" y="2"/>
                <a:pt x="15" y="2"/>
              </a:cubicBezTo>
              <a:cubicBezTo>
                <a:pt x="15" y="2"/>
                <a:pt x="16" y="2"/>
                <a:pt x="16" y="2"/>
              </a:cubicBezTo>
              <a:cubicBezTo>
                <a:pt x="16" y="3"/>
                <a:pt x="15" y="3"/>
                <a:pt x="15" y="3"/>
              </a:cubicBezTo>
              <a:cubicBezTo>
                <a:pt x="9" y="3"/>
                <a:pt x="9" y="3"/>
                <a:pt x="9" y="3"/>
              </a:cubicBezTo>
              <a:cubicBezTo>
                <a:pt x="9" y="3"/>
                <a:pt x="9" y="3"/>
                <a:pt x="9" y="2"/>
              </a:cubicBezTo>
              <a:cubicBezTo>
                <a:pt x="9" y="2"/>
                <a:pt x="9" y="2"/>
                <a:pt x="9" y="2"/>
              </a:cubicBezTo>
              <a:close/>
              <a:moveTo>
                <a:pt x="12" y="41"/>
              </a:moveTo>
              <a:cubicBezTo>
                <a:pt x="12" y="41"/>
                <a:pt x="11" y="40"/>
                <a:pt x="11" y="40"/>
              </a:cubicBezTo>
              <a:cubicBezTo>
                <a:pt x="11" y="39"/>
                <a:pt x="12" y="38"/>
                <a:pt x="12" y="38"/>
              </a:cubicBezTo>
              <a:cubicBezTo>
                <a:pt x="13" y="38"/>
                <a:pt x="14" y="39"/>
                <a:pt x="14" y="40"/>
              </a:cubicBezTo>
              <a:cubicBezTo>
                <a:pt x="14" y="40"/>
                <a:pt x="13" y="41"/>
                <a:pt x="12" y="41"/>
              </a:cubicBezTo>
              <a:close/>
              <a:moveTo>
                <a:pt x="23" y="37"/>
              </a:moveTo>
              <a:cubicBezTo>
                <a:pt x="2" y="37"/>
                <a:pt x="2" y="37"/>
                <a:pt x="2" y="37"/>
              </a:cubicBezTo>
              <a:cubicBezTo>
                <a:pt x="2" y="5"/>
                <a:pt x="2" y="5"/>
                <a:pt x="2" y="5"/>
              </a:cubicBezTo>
              <a:cubicBezTo>
                <a:pt x="23" y="5"/>
                <a:pt x="23" y="5"/>
                <a:pt x="23" y="5"/>
              </a:cubicBezTo>
              <a:lnTo>
                <a:pt x="23" y="37"/>
              </a:lnTo>
              <a:close/>
            </a:path>
          </a:pathLst>
        </a:custGeom>
        <a:solidFill>
          <a:srgbClr val="414042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595959"/>
            </a:solidFill>
          </a:endParaRPr>
        </a:p>
      </xdr:txBody>
    </xdr:sp>
    <xdr:clientData fLocksWithSheet="0"/>
  </xdr:oneCellAnchor>
  <xdr:oneCellAnchor>
    <xdr:from>
      <xdr:col>0</xdr:col>
      <xdr:colOff>444110</xdr:colOff>
      <xdr:row>43</xdr:row>
      <xdr:rowOff>85725</xdr:rowOff>
    </xdr:from>
    <xdr:ext cx="69437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44110" y="8734191"/>
          <a:ext cx="6943725" cy="38100"/>
          <a:chOff x="1874138" y="3770475"/>
          <a:chExt cx="6943725" cy="19050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 rot="10800000" flipH="1">
            <a:off x="1874138" y="3770475"/>
            <a:ext cx="6943725" cy="19050"/>
          </a:xfrm>
          <a:prstGeom prst="straightConnector1">
            <a:avLst/>
          </a:prstGeom>
          <a:noFill/>
          <a:ln w="12700" cap="flat" cmpd="sng">
            <a:solidFill>
              <a:srgbClr val="757070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0</xdr:colOff>
      <xdr:row>46</xdr:row>
      <xdr:rowOff>57150</xdr:rowOff>
    </xdr:from>
    <xdr:ext cx="69437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44110" y="9336721"/>
          <a:ext cx="6943725" cy="38100"/>
          <a:chOff x="1874138" y="3770475"/>
          <a:chExt cx="6943725" cy="19050"/>
        </a:xfrm>
      </xdr:grpSpPr>
      <xdr:cxnSp macro="">
        <xdr:nvCxnSpPr>
          <xdr:cNvPr id="6" name="Shape 7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rot="10800000" flipH="1">
            <a:off x="1874138" y="3770475"/>
            <a:ext cx="6943725" cy="19050"/>
          </a:xfrm>
          <a:prstGeom prst="straightConnector1">
            <a:avLst/>
          </a:prstGeom>
          <a:noFill/>
          <a:ln w="12700" cap="flat" cmpd="sng">
            <a:solidFill>
              <a:srgbClr val="757070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12</xdr:col>
      <xdr:colOff>485775</xdr:colOff>
      <xdr:row>37</xdr:row>
      <xdr:rowOff>133350</xdr:rowOff>
    </xdr:from>
    <xdr:ext cx="1914525" cy="771525"/>
    <xdr:pic>
      <xdr:nvPicPr>
        <xdr:cNvPr id="8" name="image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0"/>
  <sheetViews>
    <sheetView tabSelected="1" zoomScale="163" zoomScaleNormal="163" workbookViewId="0">
      <selection activeCell="U8" sqref="U8"/>
    </sheetView>
  </sheetViews>
  <sheetFormatPr baseColWidth="10" defaultColWidth="14.5" defaultRowHeight="15" customHeight="1" x14ac:dyDescent="0.2"/>
  <cols>
    <col min="1" max="1" width="5.83203125" customWidth="1"/>
    <col min="2" max="2" width="6.1640625" customWidth="1"/>
    <col min="3" max="3" width="3.5" customWidth="1"/>
    <col min="4" max="4" width="1.1640625" customWidth="1"/>
    <col min="5" max="5" width="10.83203125" customWidth="1"/>
    <col min="6" max="6" width="0.83203125" customWidth="1"/>
    <col min="7" max="7" width="2.1640625" customWidth="1"/>
    <col min="8" max="8" width="14.83203125" customWidth="1"/>
    <col min="9" max="9" width="11.83203125" customWidth="1"/>
    <col min="10" max="10" width="0.83203125" customWidth="1"/>
    <col min="11" max="11" width="3.83203125" customWidth="1"/>
    <col min="12" max="12" width="7.33203125" customWidth="1"/>
    <col min="13" max="13" width="12" customWidth="1"/>
    <col min="14" max="14" width="6.5" customWidth="1"/>
    <col min="15" max="15" width="16.6640625" customWidth="1"/>
    <col min="16" max="16" width="5.6640625" customWidth="1"/>
    <col min="17" max="17" width="7.5" customWidth="1"/>
    <col min="18" max="26" width="8.83203125" customWidth="1"/>
  </cols>
  <sheetData>
    <row r="1" spans="1:17" ht="31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31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36" customHeight="1" x14ac:dyDescent="0.2">
      <c r="A3" s="3"/>
      <c r="B3" s="4" t="s">
        <v>0</v>
      </c>
      <c r="C3" s="4"/>
      <c r="D3" s="4"/>
      <c r="E3" s="4"/>
      <c r="F3" s="3"/>
      <c r="G3" s="3"/>
      <c r="H3" s="3"/>
      <c r="I3" s="3"/>
      <c r="J3" s="3"/>
      <c r="K3" s="3"/>
      <c r="L3" s="62"/>
      <c r="M3" s="31"/>
      <c r="N3" s="31"/>
      <c r="O3" s="32"/>
      <c r="P3" s="3"/>
    </row>
    <row r="4" spans="1:17" ht="13.5" customHeight="1" x14ac:dyDescent="0.2">
      <c r="A4" s="3"/>
      <c r="B4" s="3" t="s">
        <v>16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13.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7" ht="13.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7" ht="9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7" ht="36.75" customHeight="1" x14ac:dyDescent="0.2">
      <c r="A8" s="5"/>
      <c r="B8" s="5"/>
      <c r="C8" s="5"/>
      <c r="D8" s="5"/>
      <c r="E8" s="5"/>
      <c r="F8" s="3"/>
      <c r="G8" s="5"/>
      <c r="H8" s="63" t="s">
        <v>1</v>
      </c>
      <c r="I8" s="32"/>
      <c r="J8" s="3"/>
      <c r="K8" s="64" t="s">
        <v>2</v>
      </c>
      <c r="L8" s="32"/>
      <c r="M8" s="65" t="s">
        <v>3</v>
      </c>
      <c r="N8" s="32"/>
      <c r="O8" s="6" t="s">
        <v>4</v>
      </c>
      <c r="P8" s="5"/>
    </row>
    <row r="9" spans="1:17" ht="5.25" customHeight="1" x14ac:dyDescent="0.2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7" ht="18.75" customHeight="1" x14ac:dyDescent="0.2">
      <c r="A10" s="5"/>
      <c r="B10" s="46" t="s">
        <v>5</v>
      </c>
      <c r="C10" s="31"/>
      <c r="D10" s="31"/>
      <c r="E10" s="32"/>
      <c r="F10" s="3"/>
      <c r="G10" s="5"/>
      <c r="H10" s="42" t="s">
        <v>22</v>
      </c>
      <c r="I10" s="68"/>
      <c r="J10" s="3"/>
      <c r="K10" s="5"/>
      <c r="L10" s="5"/>
      <c r="M10" s="5"/>
      <c r="N10" s="5"/>
      <c r="O10" s="5"/>
      <c r="P10" s="5"/>
    </row>
    <row r="11" spans="1:17" ht="13.5" customHeight="1" x14ac:dyDescent="0.2">
      <c r="A11" s="5"/>
      <c r="B11" s="47" t="s">
        <v>17</v>
      </c>
      <c r="C11" s="31"/>
      <c r="D11" s="31"/>
      <c r="E11" s="32"/>
      <c r="F11" s="3"/>
      <c r="G11" s="5"/>
      <c r="H11" s="48" t="s">
        <v>23</v>
      </c>
      <c r="I11" s="49"/>
      <c r="J11" s="3"/>
      <c r="K11" s="5"/>
      <c r="L11" s="7">
        <v>1</v>
      </c>
      <c r="M11" s="66">
        <v>2400</v>
      </c>
      <c r="N11" s="32"/>
      <c r="O11" s="8">
        <f>L11*M11</f>
        <v>2400</v>
      </c>
      <c r="P11" s="5"/>
    </row>
    <row r="12" spans="1:17" ht="12" customHeight="1" x14ac:dyDescent="0.2">
      <c r="A12" s="5"/>
      <c r="B12" s="67" t="s">
        <v>18</v>
      </c>
      <c r="C12" s="5"/>
      <c r="D12" s="5"/>
      <c r="E12" s="5"/>
      <c r="F12" s="3"/>
      <c r="G12" s="5"/>
      <c r="H12" s="50"/>
      <c r="I12" s="51"/>
      <c r="J12" s="3"/>
      <c r="K12" s="5"/>
      <c r="L12" s="5"/>
      <c r="M12" s="9"/>
      <c r="N12" s="9"/>
      <c r="O12" s="8"/>
      <c r="P12" s="5"/>
    </row>
    <row r="13" spans="1:17" ht="11" customHeight="1" x14ac:dyDescent="0.2">
      <c r="A13" s="5"/>
      <c r="B13" s="67" t="s">
        <v>19</v>
      </c>
      <c r="C13" s="5"/>
      <c r="D13" s="5"/>
      <c r="E13" s="5"/>
      <c r="F13" s="3"/>
      <c r="G13" s="5"/>
      <c r="H13" s="52"/>
      <c r="I13" s="53"/>
      <c r="J13" s="3"/>
      <c r="K13" s="5"/>
      <c r="L13" s="5"/>
      <c r="M13" s="9"/>
      <c r="N13" s="9"/>
      <c r="O13" s="8"/>
      <c r="P13" s="5"/>
    </row>
    <row r="14" spans="1:17" ht="14.25" customHeight="1" x14ac:dyDescent="0.2">
      <c r="A14" s="5"/>
      <c r="B14" s="5"/>
      <c r="C14" s="5"/>
      <c r="D14" s="5"/>
      <c r="E14" s="5"/>
      <c r="F14" s="3"/>
      <c r="G14" s="5"/>
      <c r="H14" s="46"/>
      <c r="I14" s="32"/>
      <c r="J14" s="3"/>
      <c r="K14" s="5"/>
      <c r="L14" s="5"/>
      <c r="M14" s="9"/>
      <c r="N14" s="9"/>
      <c r="O14" s="8"/>
      <c r="P14" s="5"/>
    </row>
    <row r="15" spans="1:17" ht="23.25" customHeight="1" x14ac:dyDescent="0.2">
      <c r="A15" s="5"/>
      <c r="B15" s="5"/>
      <c r="C15" s="5"/>
      <c r="D15" s="5"/>
      <c r="E15" s="5"/>
      <c r="F15" s="3"/>
      <c r="G15" s="5"/>
      <c r="H15" s="58" t="s">
        <v>24</v>
      </c>
      <c r="I15" s="49"/>
      <c r="J15" s="3"/>
      <c r="K15" s="5"/>
      <c r="L15" s="7">
        <v>1</v>
      </c>
      <c r="M15" s="66">
        <v>900</v>
      </c>
      <c r="N15" s="69"/>
      <c r="O15" s="8">
        <f>L15*M15</f>
        <v>900</v>
      </c>
      <c r="P15" s="5"/>
    </row>
    <row r="16" spans="1:17" ht="12.75" customHeight="1" x14ac:dyDescent="0.2">
      <c r="A16" s="5"/>
      <c r="B16" s="42" t="s">
        <v>20</v>
      </c>
      <c r="C16" s="31"/>
      <c r="D16" s="31"/>
      <c r="E16" s="32"/>
      <c r="F16" s="3"/>
      <c r="G16" s="5"/>
      <c r="H16" s="52"/>
      <c r="I16" s="53"/>
      <c r="J16" s="3"/>
      <c r="K16" s="5"/>
      <c r="L16" s="5"/>
      <c r="M16" s="9"/>
      <c r="N16" s="9"/>
      <c r="O16" s="8"/>
      <c r="P16" s="5"/>
    </row>
    <row r="17" spans="1:16" ht="11" customHeight="1" x14ac:dyDescent="0.2">
      <c r="A17" s="10"/>
      <c r="B17" s="54" t="s">
        <v>21</v>
      </c>
      <c r="C17" s="55"/>
      <c r="D17" s="55"/>
      <c r="E17" s="49"/>
      <c r="F17" s="3"/>
      <c r="G17" s="5"/>
      <c r="H17" s="57"/>
      <c r="I17" s="49"/>
      <c r="J17" s="3"/>
      <c r="K17" s="5"/>
      <c r="L17" s="5"/>
      <c r="M17" s="9"/>
      <c r="N17" s="9"/>
      <c r="O17" s="8"/>
      <c r="P17" s="5"/>
    </row>
    <row r="18" spans="1:16" ht="18" customHeight="1" x14ac:dyDescent="0.2">
      <c r="A18" s="5"/>
      <c r="B18" s="52"/>
      <c r="C18" s="56"/>
      <c r="D18" s="56"/>
      <c r="E18" s="53"/>
      <c r="F18" s="3"/>
      <c r="G18" s="5"/>
      <c r="H18" s="52"/>
      <c r="I18" s="53"/>
      <c r="J18" s="3"/>
      <c r="K18" s="5"/>
      <c r="L18" s="5"/>
      <c r="M18" s="9"/>
      <c r="N18" s="9"/>
      <c r="O18" s="8"/>
      <c r="P18" s="5"/>
    </row>
    <row r="19" spans="1:16" ht="22.5" customHeight="1" x14ac:dyDescent="0.2">
      <c r="A19" s="5"/>
      <c r="B19" s="5"/>
      <c r="C19" s="5"/>
      <c r="D19" s="5"/>
      <c r="E19" s="5"/>
      <c r="F19" s="3"/>
      <c r="G19" s="5"/>
      <c r="H19" s="58" t="s">
        <v>25</v>
      </c>
      <c r="I19" s="49"/>
      <c r="J19" s="3"/>
      <c r="K19" s="5"/>
      <c r="L19" s="7">
        <v>1</v>
      </c>
      <c r="M19" s="66">
        <v>250</v>
      </c>
      <c r="N19" s="69"/>
      <c r="O19" s="8">
        <f>L19*M19</f>
        <v>250</v>
      </c>
      <c r="P19" s="5"/>
    </row>
    <row r="20" spans="1:16" ht="13.5" customHeight="1" x14ac:dyDescent="0.2">
      <c r="A20" s="5"/>
      <c r="B20" s="5"/>
      <c r="C20" s="5"/>
      <c r="D20" s="5"/>
      <c r="E20" s="5"/>
      <c r="F20" s="3"/>
      <c r="G20" s="5"/>
      <c r="H20" s="52"/>
      <c r="I20" s="53"/>
      <c r="J20" s="3"/>
      <c r="K20" s="5"/>
      <c r="L20" s="5"/>
      <c r="M20" s="9"/>
      <c r="N20" s="9"/>
      <c r="O20" s="8"/>
      <c r="P20" s="5"/>
    </row>
    <row r="21" spans="1:16" ht="15" customHeight="1" x14ac:dyDescent="0.2">
      <c r="A21" s="5"/>
      <c r="B21" s="11"/>
      <c r="C21" s="5"/>
      <c r="D21" s="11"/>
      <c r="E21" s="12"/>
      <c r="F21" s="3"/>
      <c r="G21" s="5"/>
      <c r="H21" s="46"/>
      <c r="I21" s="32"/>
      <c r="J21" s="3"/>
      <c r="K21" s="5"/>
      <c r="L21" s="70"/>
      <c r="M21" s="71"/>
      <c r="N21" s="71"/>
      <c r="O21" s="8"/>
      <c r="P21" s="5"/>
    </row>
    <row r="22" spans="1:16" ht="19.5" customHeight="1" x14ac:dyDescent="0.2">
      <c r="A22" s="5"/>
      <c r="B22" s="42"/>
      <c r="C22" s="31"/>
      <c r="D22" s="32"/>
      <c r="E22" s="13"/>
      <c r="F22" s="3"/>
      <c r="G22" s="5"/>
      <c r="H22" s="58" t="s">
        <v>26</v>
      </c>
      <c r="I22" s="49"/>
      <c r="J22" s="3"/>
      <c r="K22" s="5"/>
      <c r="L22" s="7">
        <v>1</v>
      </c>
      <c r="M22" s="66">
        <v>760</v>
      </c>
      <c r="N22" s="69"/>
      <c r="O22" s="8">
        <f>L22*M22</f>
        <v>760</v>
      </c>
      <c r="P22" s="5"/>
    </row>
    <row r="23" spans="1:16" ht="13.5" customHeight="1" x14ac:dyDescent="0.2">
      <c r="A23" s="5"/>
      <c r="B23" s="33"/>
      <c r="C23" s="31"/>
      <c r="D23" s="32"/>
      <c r="E23" s="13"/>
      <c r="F23" s="3"/>
      <c r="G23" s="5"/>
      <c r="H23" s="52"/>
      <c r="I23" s="53"/>
      <c r="J23" s="3"/>
      <c r="K23" s="5"/>
      <c r="L23" s="5"/>
      <c r="M23" s="9"/>
      <c r="N23" s="9"/>
      <c r="O23" s="8"/>
      <c r="P23" s="5"/>
    </row>
    <row r="24" spans="1:16" ht="13.5" customHeight="1" x14ac:dyDescent="0.2">
      <c r="A24" s="5"/>
      <c r="B24" s="5"/>
      <c r="C24" s="5"/>
      <c r="D24" s="5"/>
      <c r="E24" s="5"/>
      <c r="F24" s="3"/>
      <c r="G24" s="5"/>
      <c r="H24" s="46"/>
      <c r="I24" s="32"/>
      <c r="J24" s="3"/>
      <c r="K24" s="5"/>
      <c r="L24" s="5"/>
      <c r="M24" s="9"/>
      <c r="N24" s="9"/>
      <c r="O24" s="8"/>
      <c r="P24" s="5"/>
    </row>
    <row r="25" spans="1:16" ht="21.75" customHeight="1" x14ac:dyDescent="0.2">
      <c r="A25" s="5"/>
      <c r="B25" s="5"/>
      <c r="C25" s="5"/>
      <c r="D25" s="5"/>
      <c r="E25" s="5"/>
      <c r="F25" s="3"/>
      <c r="G25" s="5"/>
      <c r="H25" s="58"/>
      <c r="I25" s="49"/>
      <c r="J25" s="3"/>
      <c r="K25" s="5"/>
      <c r="L25" s="14"/>
      <c r="M25" s="59"/>
      <c r="N25" s="32"/>
      <c r="O25" s="8"/>
      <c r="P25" s="5"/>
    </row>
    <row r="26" spans="1:16" ht="14.25" customHeight="1" x14ac:dyDescent="0.2">
      <c r="A26" s="5"/>
      <c r="B26" s="5"/>
      <c r="C26" s="5"/>
      <c r="D26" s="5"/>
      <c r="E26" s="5"/>
      <c r="F26" s="3"/>
      <c r="G26" s="5"/>
      <c r="H26" s="52"/>
      <c r="I26" s="53"/>
      <c r="J26" s="3"/>
      <c r="K26" s="5"/>
      <c r="L26" s="5"/>
      <c r="M26" s="5"/>
      <c r="N26" s="5"/>
      <c r="O26" s="5"/>
      <c r="P26" s="5"/>
    </row>
    <row r="27" spans="1:16" ht="4.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3.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1"/>
      <c r="L28" s="1"/>
      <c r="M28" s="1"/>
      <c r="N28" s="1"/>
      <c r="O28" s="1"/>
      <c r="P28" s="1"/>
    </row>
    <row r="29" spans="1:16" ht="8.2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1"/>
      <c r="L29" s="1"/>
      <c r="M29" s="1"/>
      <c r="N29" s="1"/>
      <c r="O29" s="1"/>
      <c r="P29" s="1"/>
    </row>
    <row r="30" spans="1:16" ht="18.75" customHeight="1" x14ac:dyDescent="0.2">
      <c r="A30" s="3"/>
      <c r="B30" s="34" t="s">
        <v>6</v>
      </c>
      <c r="C30" s="31"/>
      <c r="D30" s="31"/>
      <c r="E30" s="32"/>
      <c r="F30" s="3"/>
      <c r="G30" s="3"/>
      <c r="H30" s="3"/>
      <c r="I30" s="3"/>
      <c r="J30" s="3"/>
      <c r="K30" s="1"/>
      <c r="L30" s="15" t="s">
        <v>7</v>
      </c>
      <c r="M30" s="1"/>
      <c r="N30" s="16"/>
      <c r="O30" s="17">
        <f>O11+O15+O19+O22+O25</f>
        <v>4310</v>
      </c>
      <c r="P30" s="1"/>
    </row>
    <row r="31" spans="1:16" ht="16.5" customHeight="1" x14ac:dyDescent="0.2">
      <c r="A31" s="3"/>
      <c r="B31" s="18" t="s">
        <v>8</v>
      </c>
      <c r="C31" s="18"/>
      <c r="D31" s="18"/>
      <c r="E31" s="19"/>
      <c r="F31" s="19"/>
      <c r="G31" s="19"/>
      <c r="H31" s="19"/>
      <c r="I31" s="19"/>
      <c r="J31" s="3"/>
      <c r="K31" s="1"/>
      <c r="L31" s="20" t="s">
        <v>9</v>
      </c>
      <c r="M31" s="21">
        <v>0.21</v>
      </c>
      <c r="N31" s="16"/>
      <c r="O31" s="17">
        <f>O30*M31</f>
        <v>905.1</v>
      </c>
      <c r="P31" s="1"/>
    </row>
    <row r="32" spans="1:16" ht="16.5" customHeight="1" x14ac:dyDescent="0.2">
      <c r="A32" s="3"/>
      <c r="B32" s="18" t="s">
        <v>10</v>
      </c>
      <c r="C32" s="18"/>
      <c r="D32" s="18"/>
      <c r="E32" s="22"/>
      <c r="F32" s="22"/>
      <c r="G32" s="22"/>
      <c r="H32" s="22"/>
      <c r="I32" s="22"/>
      <c r="J32" s="3"/>
      <c r="K32" s="1"/>
      <c r="L32" s="20" t="s">
        <v>11</v>
      </c>
      <c r="M32" s="21">
        <v>0.15</v>
      </c>
      <c r="N32" s="16"/>
      <c r="O32" s="17">
        <f>(O30)*M32</f>
        <v>646.5</v>
      </c>
      <c r="P32" s="1"/>
    </row>
    <row r="33" spans="1:16" ht="12" customHeight="1" x14ac:dyDescent="0.2">
      <c r="A33" s="3"/>
      <c r="B33" s="23" t="s">
        <v>27</v>
      </c>
      <c r="C33" s="23"/>
      <c r="D33" s="23"/>
      <c r="E33" s="22"/>
      <c r="F33" s="22"/>
      <c r="G33" s="22"/>
      <c r="H33" s="22"/>
      <c r="I33" s="22"/>
      <c r="J33" s="3"/>
      <c r="K33" s="1"/>
      <c r="L33" s="1"/>
      <c r="M33" s="24"/>
      <c r="N33" s="16"/>
      <c r="O33" s="16"/>
      <c r="P33" s="1"/>
    </row>
    <row r="34" spans="1:16" ht="26.25" customHeight="1" x14ac:dyDescent="0.25">
      <c r="A34" s="3"/>
      <c r="B34" s="35"/>
      <c r="C34" s="31"/>
      <c r="D34" s="31"/>
      <c r="E34" s="31"/>
      <c r="F34" s="31"/>
      <c r="G34" s="31"/>
      <c r="H34" s="31"/>
      <c r="I34" s="32"/>
      <c r="J34" s="3"/>
      <c r="K34" s="1"/>
      <c r="L34" s="60" t="s">
        <v>4</v>
      </c>
      <c r="M34" s="32"/>
      <c r="N34" s="61">
        <f>(O30+O31)-O32</f>
        <v>4568.6000000000004</v>
      </c>
      <c r="O34" s="32"/>
      <c r="P34" s="1"/>
    </row>
    <row r="35" spans="1:16" ht="13.5" customHeight="1" x14ac:dyDescent="0.2">
      <c r="A35" s="3"/>
      <c r="C35" s="25"/>
      <c r="D35" s="25"/>
      <c r="E35" s="25"/>
      <c r="F35" s="25"/>
      <c r="G35" s="25"/>
      <c r="H35" s="25"/>
      <c r="I35" s="25"/>
      <c r="J35" s="3"/>
      <c r="K35" s="1"/>
      <c r="L35" s="1"/>
      <c r="M35" s="1"/>
      <c r="N35" s="1"/>
      <c r="O35" s="1"/>
      <c r="P35" s="1"/>
    </row>
    <row r="36" spans="1:16" ht="4.5" customHeight="1" x14ac:dyDescent="0.2">
      <c r="A36" s="3"/>
      <c r="B36" s="23"/>
      <c r="C36" s="23"/>
      <c r="D36" s="23"/>
      <c r="E36" s="26"/>
      <c r="F36" s="26"/>
      <c r="G36" s="26"/>
      <c r="H36" s="26"/>
      <c r="I36" s="26"/>
      <c r="J36" s="3"/>
      <c r="K36" s="1"/>
      <c r="L36" s="1"/>
      <c r="M36" s="1"/>
      <c r="N36" s="1"/>
      <c r="O36" s="1"/>
      <c r="P36" s="1"/>
    </row>
    <row r="37" spans="1:16" ht="13.5" customHeight="1" x14ac:dyDescent="0.2">
      <c r="A37" s="3"/>
      <c r="B37" s="34" t="s">
        <v>12</v>
      </c>
      <c r="C37" s="31"/>
      <c r="D37" s="31"/>
      <c r="E37" s="3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3.5" customHeight="1" x14ac:dyDescent="0.2">
      <c r="A38" s="3"/>
      <c r="B38" s="36" t="s">
        <v>13</v>
      </c>
      <c r="C38" s="31"/>
      <c r="D38" s="32"/>
      <c r="E38" s="37" t="s">
        <v>14</v>
      </c>
      <c r="F38" s="31"/>
      <c r="G38" s="31"/>
      <c r="H38" s="31"/>
      <c r="I38" s="32"/>
      <c r="J38" s="3"/>
      <c r="K38" s="3"/>
      <c r="L38" s="3"/>
      <c r="M38" s="3"/>
      <c r="N38" s="3"/>
      <c r="O38" s="3"/>
      <c r="P38" s="3"/>
    </row>
    <row r="39" spans="1:16" ht="11.25" customHeight="1" x14ac:dyDescent="0.2">
      <c r="A39" s="3"/>
      <c r="B39" s="36" t="s">
        <v>29</v>
      </c>
      <c r="C39" s="31"/>
      <c r="D39" s="32"/>
      <c r="E39" s="37" t="s">
        <v>28</v>
      </c>
      <c r="F39" s="31"/>
      <c r="G39" s="31"/>
      <c r="H39" s="31"/>
      <c r="I39" s="32"/>
      <c r="J39" s="3"/>
      <c r="K39" s="3"/>
      <c r="L39" s="3"/>
      <c r="M39" s="3"/>
      <c r="N39" s="3"/>
      <c r="O39" s="3"/>
      <c r="P39" s="3"/>
    </row>
    <row r="40" spans="1:16" ht="13.5" customHeight="1" x14ac:dyDescent="0.2">
      <c r="A40" s="3"/>
      <c r="B40" s="43"/>
      <c r="C40" s="31"/>
      <c r="D40" s="32"/>
      <c r="E40" s="37"/>
      <c r="F40" s="31"/>
      <c r="G40" s="31"/>
      <c r="H40" s="31"/>
      <c r="I40" s="32"/>
      <c r="J40" s="3"/>
      <c r="K40" s="3"/>
      <c r="L40" s="3"/>
      <c r="M40" s="3"/>
      <c r="N40" s="44"/>
      <c r="O40" s="32"/>
      <c r="P40" s="3"/>
    </row>
    <row r="41" spans="1:1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5"/>
      <c r="O41" s="32"/>
      <c r="P41" s="3"/>
    </row>
    <row r="42" spans="1:16" ht="13.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27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25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2" customHeight="1" x14ac:dyDescent="0.2">
      <c r="A45" s="3"/>
      <c r="B45" s="3"/>
      <c r="C45" s="38"/>
      <c r="D45" s="31"/>
      <c r="E45" s="31"/>
      <c r="F45" s="31"/>
      <c r="G45" s="32"/>
      <c r="H45" s="3"/>
      <c r="I45" s="39"/>
      <c r="J45" s="31"/>
      <c r="K45" s="32"/>
      <c r="L45" s="3"/>
      <c r="M45" s="27" t="s">
        <v>15</v>
      </c>
      <c r="N45" s="27"/>
      <c r="O45" s="27"/>
      <c r="P45" s="27"/>
    </row>
    <row r="46" spans="1:16" ht="12" customHeight="1" x14ac:dyDescent="0.2">
      <c r="A46" s="3"/>
      <c r="B46" s="3"/>
      <c r="C46" s="40"/>
      <c r="D46" s="31"/>
      <c r="E46" s="31"/>
      <c r="F46" s="31"/>
      <c r="G46" s="32"/>
      <c r="H46" s="3"/>
      <c r="I46" s="39"/>
      <c r="J46" s="31"/>
      <c r="K46" s="32"/>
      <c r="L46" s="3"/>
      <c r="M46" s="3"/>
      <c r="N46" s="41"/>
      <c r="O46" s="31"/>
      <c r="P46" s="32"/>
    </row>
    <row r="47" spans="1:16" ht="18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6.5" customHeight="1" x14ac:dyDescent="0.2">
      <c r="A48" s="3"/>
      <c r="B48" s="3"/>
      <c r="C48" s="28"/>
      <c r="D48" s="3"/>
      <c r="E48" s="3"/>
      <c r="F48" s="3"/>
      <c r="G48" s="3"/>
      <c r="H48" s="29"/>
      <c r="I48" s="3"/>
      <c r="J48" s="3"/>
      <c r="K48" s="3"/>
      <c r="L48" s="3"/>
      <c r="M48" s="3"/>
      <c r="N48" s="3"/>
      <c r="O48" s="3"/>
      <c r="P48" s="3"/>
    </row>
    <row r="49" spans="1:17" ht="6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7" ht="35.25" customHeight="1" x14ac:dyDescent="0.2">
      <c r="A50" s="1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2"/>
      <c r="P50" s="10"/>
      <c r="Q50" s="10"/>
    </row>
    <row r="51" spans="1:17" ht="13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7" ht="17.2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7" ht="13.5" customHeight="1" x14ac:dyDescent="0.2"/>
    <row r="54" spans="1:17" ht="13.5" customHeight="1" x14ac:dyDescent="0.2"/>
    <row r="55" spans="1:17" ht="28.5" customHeight="1" x14ac:dyDescent="0.2"/>
    <row r="56" spans="1:17" ht="13.5" customHeight="1" x14ac:dyDescent="0.2"/>
    <row r="57" spans="1:17" ht="13.5" customHeight="1" x14ac:dyDescent="0.2"/>
    <row r="58" spans="1:17" ht="13.5" customHeight="1" x14ac:dyDescent="0.2"/>
    <row r="59" spans="1:17" ht="13.5" customHeight="1" x14ac:dyDescent="0.2"/>
    <row r="60" spans="1:17" ht="13.5" customHeight="1" x14ac:dyDescent="0.2"/>
    <row r="61" spans="1:17" ht="13.5" customHeight="1" x14ac:dyDescent="0.2"/>
    <row r="62" spans="1:17" ht="13.5" customHeight="1" x14ac:dyDescent="0.2"/>
    <row r="63" spans="1:17" ht="13.5" customHeight="1" x14ac:dyDescent="0.2"/>
    <row r="64" spans="1:17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44">
    <mergeCell ref="L3:O3"/>
    <mergeCell ref="H8:I8"/>
    <mergeCell ref="K8:L8"/>
    <mergeCell ref="H22:I23"/>
    <mergeCell ref="H24:I24"/>
    <mergeCell ref="M8:N8"/>
    <mergeCell ref="M11:N11"/>
    <mergeCell ref="M15:N15"/>
    <mergeCell ref="M19:N19"/>
    <mergeCell ref="M22:N22"/>
    <mergeCell ref="B10:E10"/>
    <mergeCell ref="H10:I10"/>
    <mergeCell ref="B11:E11"/>
    <mergeCell ref="H11:I13"/>
    <mergeCell ref="H21:I21"/>
    <mergeCell ref="B16:E16"/>
    <mergeCell ref="B17:E18"/>
    <mergeCell ref="H14:I14"/>
    <mergeCell ref="H15:I16"/>
    <mergeCell ref="H17:I18"/>
    <mergeCell ref="H19:I20"/>
    <mergeCell ref="B22:D22"/>
    <mergeCell ref="B39:D39"/>
    <mergeCell ref="B40:D40"/>
    <mergeCell ref="N40:O40"/>
    <mergeCell ref="N41:O41"/>
    <mergeCell ref="E40:I40"/>
    <mergeCell ref="M25:N25"/>
    <mergeCell ref="L34:M34"/>
    <mergeCell ref="N34:O34"/>
    <mergeCell ref="H25:I26"/>
    <mergeCell ref="B50:O50"/>
    <mergeCell ref="B23:D23"/>
    <mergeCell ref="B30:E30"/>
    <mergeCell ref="B34:I34"/>
    <mergeCell ref="B37:E37"/>
    <mergeCell ref="B38:D38"/>
    <mergeCell ref="E38:I38"/>
    <mergeCell ref="E39:I39"/>
    <mergeCell ref="C45:G45"/>
    <mergeCell ref="I45:K45"/>
    <mergeCell ref="C46:G46"/>
    <mergeCell ref="I46:K46"/>
    <mergeCell ref="N46:P46"/>
  </mergeCells>
  <pageMargins left="0" right="0" top="0" bottom="0" header="0" footer="0"/>
  <pageSetup paperSize="9" scale="78" orientation="portrait"/>
  <colBreaks count="1" manualBreakCount="1">
    <brk id="17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2026-08-03T07:08:09Z</cp:lastPrinted>
  <dcterms:created xsi:type="dcterms:W3CDTF">2015-06-05T18:17:20Z</dcterms:created>
  <dcterms:modified xsi:type="dcterms:W3CDTF">2026-08-04T15:41:59Z</dcterms:modified>
</cp:coreProperties>
</file>